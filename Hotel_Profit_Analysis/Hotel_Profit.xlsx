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D:\VERNANDA\SKILL\2_SQL\3_Projek_analisis\Hotel_Profit\"/>
    </mc:Choice>
  </mc:AlternateContent>
  <xr:revisionPtr revIDLastSave="0" documentId="13_ncr:1_{678B9A3B-B9D7-41EB-8224-2F0F3198979F}" xr6:coauthVersionLast="47" xr6:coauthVersionMax="47" xr10:uidLastSave="{00000000-0000-0000-0000-000000000000}"/>
  <bookViews>
    <workbookView xWindow="10140" yWindow="0" windowWidth="10455" windowHeight="10905" activeTab="2" xr2:uid="{798BA661-EAAC-477E-80F7-B00D160072EB}"/>
  </bookViews>
  <sheets>
    <sheet name="Hotel_Profit" sheetId="1" r:id="rId1"/>
    <sheet name="Pivot" sheetId="2" r:id="rId2"/>
    <sheet name="Dashboard" sheetId="3" r:id="rId3"/>
  </sheets>
  <definedNames>
    <definedName name="Slicer_Booking_Channel">#N/A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3" l="1"/>
  <c r="J14" i="3"/>
  <c r="F14" i="3"/>
  <c r="B14" i="3"/>
</calcChain>
</file>

<file path=xl/sharedStrings.xml><?xml version="1.0" encoding="utf-8"?>
<sst xmlns="http://schemas.openxmlformats.org/spreadsheetml/2006/main" count="542" uniqueCount="57">
  <si>
    <t>Date</t>
  </si>
  <si>
    <t>Month</t>
  </si>
  <si>
    <t>Weekday</t>
  </si>
  <si>
    <t>Season</t>
  </si>
  <si>
    <t>Holiday</t>
  </si>
  <si>
    <t>Booking_Channel</t>
  </si>
  <si>
    <t>Guest_Type</t>
  </si>
  <si>
    <t>Guest_Country</t>
  </si>
  <si>
    <t>Revenue</t>
  </si>
  <si>
    <t>Room_Revenue</t>
  </si>
  <si>
    <t>Food_&amp;_Baverage_Revenue</t>
  </si>
  <si>
    <t>Marketing_Spend</t>
  </si>
  <si>
    <t>Operating_Expenses</t>
  </si>
  <si>
    <t>Fixed_Costs</t>
  </si>
  <si>
    <t>Variable_Costs</t>
  </si>
  <si>
    <t>Total_costs</t>
  </si>
  <si>
    <t>Profit</t>
  </si>
  <si>
    <t>Januari</t>
  </si>
  <si>
    <t>Winter</t>
  </si>
  <si>
    <t>Yes</t>
  </si>
  <si>
    <t>Direct</t>
  </si>
  <si>
    <t>Leisure</t>
  </si>
  <si>
    <t>USA</t>
  </si>
  <si>
    <t>No</t>
  </si>
  <si>
    <t>OTA</t>
  </si>
  <si>
    <t>Business</t>
  </si>
  <si>
    <t>UK</t>
  </si>
  <si>
    <t>Germany</t>
  </si>
  <si>
    <t>Februari</t>
  </si>
  <si>
    <t>France</t>
  </si>
  <si>
    <t>Italy</t>
  </si>
  <si>
    <t>Spain</t>
  </si>
  <si>
    <t>Maret</t>
  </si>
  <si>
    <t>Spring</t>
  </si>
  <si>
    <t>1. Tren Revenue di 3 bulan awal tahun 2024</t>
  </si>
  <si>
    <t>Sum of Revenue</t>
  </si>
  <si>
    <t>Row Labels</t>
  </si>
  <si>
    <t>Grand Total</t>
  </si>
  <si>
    <t>Total_Revenue</t>
  </si>
  <si>
    <t>Sum of Room_Revenue</t>
  </si>
  <si>
    <t>Sum of Food_&amp;_Baverage_Revenue</t>
  </si>
  <si>
    <t>2. Negara mana yang menyumbah revenue terbanyak</t>
  </si>
  <si>
    <t>3.Tren Expenses di 3 bulan awal tahun 2024</t>
  </si>
  <si>
    <t>Sum of Marketing_Spend</t>
  </si>
  <si>
    <t>Sum of Operating_Expenses</t>
  </si>
  <si>
    <t>4. Total Revenue, Expenses, Cost, Profit</t>
  </si>
  <si>
    <t>Sum of Total Expenses</t>
  </si>
  <si>
    <t>Sum of Total_costs</t>
  </si>
  <si>
    <t>Sum of Profit</t>
  </si>
  <si>
    <t>6, Profit Per Bulan</t>
  </si>
  <si>
    <t>Total Cost</t>
  </si>
  <si>
    <t>Total Revenue</t>
  </si>
  <si>
    <t>Total Profit</t>
  </si>
  <si>
    <t>Total Expenses</t>
  </si>
  <si>
    <t>1. Pada Pendapatan Per Bulannya dapat ditarik kesimpulan bahwa</t>
  </si>
  <si>
    <t>Insight</t>
  </si>
  <si>
    <t>Berdasarkan grafik pendapatan bulan Januari, terjadi penurunan signifikan pada minggu ke-4 dengan estimasi penurunan sekitar 20% dibanding minggu sebelumnya. Setelah itu, tren pendapatan cenderung stabil hingga minggu ke-7. Penurunan ini perlu dianalisis lebih lanjut untuk mengidentifikasi faktor penyebabnya, seperti perubahan permintaan pelanggan atau efektivitas strategi promosi.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</si>
</sst>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_ ;_-[$$-409]* \-#,##0\ ;_-[$$-409]* &quot;-&quot;??_ ;_-@_ "/>
    <numFmt numFmtId="165" formatCode="_-[$$-409]* #,##0.00_ ;_-[$$-409]* \-#,##0.00\ ;_-[$$-409]* &quot;-&quot;??_ ;_-@_ "/>
  </numFmts>
  <fonts count="21" x14ac:knownFonts="1">
    <font>
      <sz val="11"/>
      <color theme="1"/>
      <name val="Aptos Narrow"/>
      <family val="2"/>
      <charset val="1"/>
      <scheme val="minor"/>
    </font>
    <font>
      <sz val="11"/>
      <color theme="1"/>
      <name val="Aptos Narrow"/>
      <family val="2"/>
      <charset val="1"/>
      <scheme val="minor"/>
    </font>
    <font>
      <sz val="18"/>
      <color theme="3"/>
      <name val="Aptos Display"/>
      <family val="2"/>
      <charset val="1"/>
      <scheme val="major"/>
    </font>
    <font>
      <b/>
      <sz val="15"/>
      <color theme="3"/>
      <name val="Aptos Narrow"/>
      <family val="2"/>
      <charset val="1"/>
      <scheme val="minor"/>
    </font>
    <font>
      <b/>
      <sz val="13"/>
      <color theme="3"/>
      <name val="Aptos Narrow"/>
      <family val="2"/>
      <charset val="1"/>
      <scheme val="minor"/>
    </font>
    <font>
      <b/>
      <sz val="11"/>
      <color theme="3"/>
      <name val="Aptos Narrow"/>
      <family val="2"/>
      <charset val="1"/>
      <scheme val="minor"/>
    </font>
    <font>
      <sz val="11"/>
      <color rgb="FF006100"/>
      <name val="Aptos Narrow"/>
      <family val="2"/>
      <charset val="1"/>
      <scheme val="minor"/>
    </font>
    <font>
      <sz val="11"/>
      <color rgb="FF9C0006"/>
      <name val="Aptos Narrow"/>
      <family val="2"/>
      <charset val="1"/>
      <scheme val="minor"/>
    </font>
    <font>
      <sz val="11"/>
      <color rgb="FF9C5700"/>
      <name val="Aptos Narrow"/>
      <family val="2"/>
      <charset val="1"/>
      <scheme val="minor"/>
    </font>
    <font>
      <sz val="11"/>
      <color rgb="FF3F3F76"/>
      <name val="Aptos Narrow"/>
      <family val="2"/>
      <charset val="1"/>
      <scheme val="minor"/>
    </font>
    <font>
      <b/>
      <sz val="11"/>
      <color rgb="FF3F3F3F"/>
      <name val="Aptos Narrow"/>
      <family val="2"/>
      <charset val="1"/>
      <scheme val="minor"/>
    </font>
    <font>
      <b/>
      <sz val="11"/>
      <color rgb="FFFA7D00"/>
      <name val="Aptos Narrow"/>
      <family val="2"/>
      <charset val="1"/>
      <scheme val="minor"/>
    </font>
    <font>
      <sz val="11"/>
      <color rgb="FFFA7D00"/>
      <name val="Aptos Narrow"/>
      <family val="2"/>
      <charset val="1"/>
      <scheme val="minor"/>
    </font>
    <font>
      <b/>
      <sz val="11"/>
      <color theme="0"/>
      <name val="Aptos Narrow"/>
      <family val="2"/>
      <charset val="1"/>
      <scheme val="minor"/>
    </font>
    <font>
      <sz val="11"/>
      <color rgb="FFFF0000"/>
      <name val="Aptos Narrow"/>
      <family val="2"/>
      <charset val="1"/>
      <scheme val="minor"/>
    </font>
    <font>
      <i/>
      <sz val="11"/>
      <color rgb="FF7F7F7F"/>
      <name val="Aptos Narrow"/>
      <family val="2"/>
      <charset val="1"/>
      <scheme val="minor"/>
    </font>
    <font>
      <b/>
      <sz val="11"/>
      <color theme="1"/>
      <name val="Aptos Narrow"/>
      <family val="2"/>
      <charset val="1"/>
      <scheme val="minor"/>
    </font>
    <font>
      <sz val="11"/>
      <color theme="0"/>
      <name val="Aptos Narrow"/>
      <family val="2"/>
      <charset val="1"/>
      <scheme val="minor"/>
    </font>
    <font>
      <b/>
      <sz val="24"/>
      <color theme="1"/>
      <name val="Aptos Narrow"/>
      <family val="2"/>
      <scheme val="minor"/>
    </font>
    <font>
      <b/>
      <sz val="20"/>
      <color theme="1"/>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10" xfId="0" applyBorder="1"/>
    <xf numFmtId="14" fontId="0" fillId="0" borderId="11" xfId="0" applyNumberFormat="1" applyBorder="1"/>
    <xf numFmtId="0" fontId="0" fillId="0" borderId="13" xfId="0" applyBorder="1"/>
    <xf numFmtId="0" fontId="0" fillId="0" borderId="14" xfId="0" applyBorder="1"/>
    <xf numFmtId="14" fontId="0" fillId="0" borderId="16" xfId="0" applyNumberFormat="1" applyBorder="1"/>
    <xf numFmtId="0" fontId="0" fillId="0" borderId="17" xfId="0" applyBorder="1"/>
    <xf numFmtId="164" fontId="0" fillId="0" borderId="14" xfId="1" applyNumberFormat="1" applyFont="1" applyBorder="1"/>
    <xf numFmtId="164" fontId="0" fillId="0" borderId="15" xfId="1" applyNumberFormat="1" applyFont="1" applyBorder="1"/>
    <xf numFmtId="164" fontId="0" fillId="0" borderId="10" xfId="1" applyNumberFormat="1" applyFont="1" applyBorder="1"/>
    <xf numFmtId="164" fontId="0" fillId="0" borderId="12" xfId="1" applyNumberFormat="1" applyFont="1" applyBorder="1"/>
    <xf numFmtId="164" fontId="0" fillId="0" borderId="17" xfId="1" applyNumberFormat="1" applyFont="1" applyBorder="1"/>
    <xf numFmtId="164" fontId="0" fillId="0" borderId="18" xfId="1" applyNumberFormat="1" applyFont="1" applyBorder="1"/>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0" fontId="0" fillId="0" borderId="0" xfId="0" applyNumberFormat="1"/>
    <xf numFmtId="0" fontId="0" fillId="33" borderId="0" xfId="0" applyFill="1"/>
    <xf numFmtId="0" fontId="18" fillId="33" borderId="0" xfId="0" applyFont="1" applyFill="1"/>
    <xf numFmtId="20" fontId="0" fillId="33" borderId="0" xfId="0" applyNumberFormat="1" applyFill="1"/>
    <xf numFmtId="0" fontId="19" fillId="33" borderId="10" xfId="0" applyFont="1" applyFill="1" applyBorder="1" applyAlignment="1">
      <alignment horizontal="center"/>
    </xf>
    <xf numFmtId="165" fontId="18" fillId="33" borderId="10" xfId="0" applyNumberFormat="1" applyFont="1" applyFill="1" applyBorder="1" applyAlignment="1">
      <alignment horizontal="center" vertical="center"/>
    </xf>
    <xf numFmtId="0" fontId="20" fillId="33" borderId="19" xfId="0" applyFont="1" applyFill="1" applyBorder="1" applyAlignment="1">
      <alignment horizontal="center" vertical="center"/>
    </xf>
    <xf numFmtId="0" fontId="20" fillId="33" borderId="20" xfId="0" applyFont="1" applyFill="1" applyBorder="1" applyAlignment="1">
      <alignment horizontal="center" vertical="center"/>
    </xf>
    <xf numFmtId="0" fontId="20" fillId="33" borderId="21" xfId="0"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1">
    <dxf>
      <numFmt numFmtId="164" formatCode="_-[$$-409]* #,##0_ ;_-[$$-409]* \-#,##0\ ;_-[$$-409]* &quot;-&quot;??_ ;_-@_ "/>
      <border diagonalUp="0" diagonalDown="0" outline="0">
        <left style="thin">
          <color indexed="64"/>
        </left>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numFmt numFmtId="164" formatCode="_-[$$-409]* #,##0_ ;_-[$$-409]* \-#,##0\ ;_-[$$-409]* &quot;-&quot;??_ ;_-@_ "/>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[Hotel_Profit.xlsx]Pivot!PivotTable2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Pendapatan dari pengunjung per negara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Sum of Room_Revenue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Pivot!$E$4:$E$10</c:f>
              <c:strCache>
                <c:ptCount val="6"/>
                <c:pt idx="0">
                  <c:v>France</c:v>
                </c:pt>
                <c:pt idx="1">
                  <c:v>Germany</c:v>
                </c:pt>
                <c:pt idx="2">
                  <c:v>Italy</c:v>
                </c:pt>
                <c:pt idx="3">
                  <c:v>Spain</c:v>
                </c:pt>
                <c:pt idx="4">
                  <c:v>UK</c:v>
                </c:pt>
                <c:pt idx="5">
                  <c:v>USA</c:v>
                </c:pt>
              </c:strCache>
            </c:strRef>
          </c:cat>
          <c:val>
            <c:numRef>
              <c:f>Pivot!$F$4:$F$10</c:f>
              <c:numCache>
                <c:formatCode>_-[$$-409]* #,##0_ ;_-[$$-409]* \-#,##0\ ;_-[$$-409]* "-"??_ ;_-@_ </c:formatCode>
                <c:ptCount val="6"/>
                <c:pt idx="0">
                  <c:v>376000</c:v>
                </c:pt>
                <c:pt idx="1">
                  <c:v>784000</c:v>
                </c:pt>
                <c:pt idx="2">
                  <c:v>343000</c:v>
                </c:pt>
                <c:pt idx="3">
                  <c:v>400000</c:v>
                </c:pt>
                <c:pt idx="4">
                  <c:v>768000</c:v>
                </c:pt>
                <c:pt idx="5">
                  <c:v>1080000</c:v>
                </c:pt>
              </c:numCache>
            </c:numRef>
          </c:val>
          <c:extLst>
            <c:ext xmlns:c16="http://schemas.microsoft.com/office/drawing/2014/chart" uri="{C3380CC4-5D6E-409C-BE32-E72D297353CC}">
              <c16:uniqueId val="{00000000-9A42-4A66-8223-B71456962B3F}"/>
            </c:ext>
          </c:extLst>
        </c:ser>
        <c:ser>
          <c:idx val="1"/>
          <c:order val="1"/>
          <c:tx>
            <c:strRef>
              <c:f>Pivot!$G$3</c:f>
              <c:strCache>
                <c:ptCount val="1"/>
                <c:pt idx="0">
                  <c:v>Sum of Food_&amp;_Baverage_Revenue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Pivot!$E$4:$E$10</c:f>
              <c:strCache>
                <c:ptCount val="6"/>
                <c:pt idx="0">
                  <c:v>France</c:v>
                </c:pt>
                <c:pt idx="1">
                  <c:v>Germany</c:v>
                </c:pt>
                <c:pt idx="2">
                  <c:v>Italy</c:v>
                </c:pt>
                <c:pt idx="3">
                  <c:v>Spain</c:v>
                </c:pt>
                <c:pt idx="4">
                  <c:v>UK</c:v>
                </c:pt>
                <c:pt idx="5">
                  <c:v>USA</c:v>
                </c:pt>
              </c:strCache>
            </c:strRef>
          </c:cat>
          <c:val>
            <c:numRef>
              <c:f>Pivot!$G$4:$G$10</c:f>
              <c:numCache>
                <c:formatCode>_-[$$-409]* #,##0_ ;_-[$$-409]* \-#,##0\ ;_-[$$-409]* "-"??_ ;_-@_ </c:formatCode>
                <c:ptCount val="6"/>
                <c:pt idx="0">
                  <c:v>280000</c:v>
                </c:pt>
                <c:pt idx="1">
                  <c:v>656000</c:v>
                </c:pt>
                <c:pt idx="2">
                  <c:v>273000</c:v>
                </c:pt>
                <c:pt idx="3">
                  <c:v>328000</c:v>
                </c:pt>
                <c:pt idx="4">
                  <c:v>592000</c:v>
                </c:pt>
                <c:pt idx="5">
                  <c:v>840000</c:v>
                </c:pt>
              </c:numCache>
            </c:numRef>
          </c:val>
          <c:extLst>
            <c:ext xmlns:c16="http://schemas.microsoft.com/office/drawing/2014/chart" uri="{C3380CC4-5D6E-409C-BE32-E72D297353CC}">
              <c16:uniqueId val="{00000001-9A42-4A66-8223-B71456962B3F}"/>
            </c:ext>
          </c:extLst>
        </c:ser>
        <c:dLbls>
          <c:dLblPos val="inEnd"/>
          <c:showLegendKey val="0"/>
          <c:showVal val="1"/>
          <c:showCatName val="0"/>
          <c:showSerName val="0"/>
          <c:showPercent val="0"/>
          <c:showBubbleSize val="0"/>
        </c:dLbls>
        <c:gapWidth val="65"/>
        <c:axId val="1268582000"/>
        <c:axId val="1268587280"/>
      </c:barChart>
      <c:catAx>
        <c:axId val="1268582000"/>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587280"/>
        <c:crosses val="autoZero"/>
        <c:auto val="1"/>
        <c:lblAlgn val="ctr"/>
        <c:lblOffset val="100"/>
        <c:noMultiLvlLbl val="0"/>
      </c:catAx>
      <c:valAx>
        <c:axId val="1268587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8582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[Hotel_Profit.xlsx]Pivot!PivotTable1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Pendapatan Bulan Januari</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Pivot!$A$4:$A$12</c:f>
              <c:multiLvlStrCache>
                <c:ptCount val="7"/>
                <c:lvl>
                  <c:pt idx="0">
                    <c:v>1</c:v>
                  </c:pt>
                  <c:pt idx="1">
                    <c:v>2</c:v>
                  </c:pt>
                  <c:pt idx="2">
                    <c:v>3</c:v>
                  </c:pt>
                  <c:pt idx="3">
                    <c:v>4</c:v>
                  </c:pt>
                  <c:pt idx="4">
                    <c:v>5</c:v>
                  </c:pt>
                  <c:pt idx="5">
                    <c:v>6</c:v>
                  </c:pt>
                  <c:pt idx="6">
                    <c:v>7</c:v>
                  </c:pt>
                </c:lvl>
                <c:lvl>
                  <c:pt idx="0">
                    <c:v>Januari</c:v>
                  </c:pt>
                </c:lvl>
              </c:multiLvlStrCache>
            </c:multiLvlStrRef>
          </c:cat>
          <c:val>
            <c:numRef>
              <c:f>Pivot!$B$4:$B$12</c:f>
              <c:numCache>
                <c:formatCode>_-[$$-409]* #,##0_ ;_-[$$-409]* \-#,##0\ ;_-[$$-409]* "-"??_ ;_-@_ </c:formatCode>
                <c:ptCount val="7"/>
                <c:pt idx="0">
                  <c:v>420000</c:v>
                </c:pt>
                <c:pt idx="1">
                  <c:v>430000</c:v>
                </c:pt>
                <c:pt idx="2">
                  <c:v>425000</c:v>
                </c:pt>
                <c:pt idx="3">
                  <c:v>335000</c:v>
                </c:pt>
                <c:pt idx="4">
                  <c:v>340000</c:v>
                </c:pt>
                <c:pt idx="5">
                  <c:v>345000</c:v>
                </c:pt>
                <c:pt idx="6">
                  <c:v>335000</c:v>
                </c:pt>
              </c:numCache>
            </c:numRef>
          </c:val>
          <c:smooth val="0"/>
          <c:extLst>
            <c:ext xmlns:c16="http://schemas.microsoft.com/office/drawing/2014/chart" uri="{C3380CC4-5D6E-409C-BE32-E72D297353CC}">
              <c16:uniqueId val="{00000000-00AE-4E8E-A551-640A5231FF5E}"/>
            </c:ext>
          </c:extLst>
        </c:ser>
        <c:dLbls>
          <c:showLegendKey val="0"/>
          <c:showVal val="0"/>
          <c:showCatName val="0"/>
          <c:showSerName val="0"/>
          <c:showPercent val="0"/>
          <c:showBubbleSize val="0"/>
        </c:dLbls>
        <c:marker val="1"/>
        <c:smooth val="0"/>
        <c:axId val="498151599"/>
        <c:axId val="498147279"/>
      </c:lineChart>
      <c:catAx>
        <c:axId val="498151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7279"/>
        <c:crosses val="autoZero"/>
        <c:auto val="1"/>
        <c:lblAlgn val="ctr"/>
        <c:lblOffset val="100"/>
        <c:noMultiLvlLbl val="0"/>
      </c:catAx>
      <c:valAx>
        <c:axId val="49814727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[Hotel_Profit.xlsx]Pivot!PivotTable5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Pendapatan Bulan Februari</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Pivot!$A$15:$A$23</c:f>
              <c:multiLvlStrCache>
                <c:ptCount val="7"/>
                <c:lvl>
                  <c:pt idx="0">
                    <c:v>1</c:v>
                  </c:pt>
                  <c:pt idx="1">
                    <c:v>2</c:v>
                  </c:pt>
                  <c:pt idx="2">
                    <c:v>3</c:v>
                  </c:pt>
                  <c:pt idx="3">
                    <c:v>4</c:v>
                  </c:pt>
                  <c:pt idx="4">
                    <c:v>5</c:v>
                  </c:pt>
                  <c:pt idx="5">
                    <c:v>6</c:v>
                  </c:pt>
                  <c:pt idx="6">
                    <c:v>7</c:v>
                  </c:pt>
                </c:lvl>
                <c:lvl>
                  <c:pt idx="0">
                    <c:v>Februari</c:v>
                  </c:pt>
                </c:lvl>
              </c:multiLvlStrCache>
            </c:multiLvlStrRef>
          </c:cat>
          <c:val>
            <c:numRef>
              <c:f>Pivot!$B$15:$B$23</c:f>
              <c:numCache>
                <c:formatCode>_-[$$-409]* #,##0_ ;_-[$$-409]* \-#,##0\ ;_-[$$-409]* "-"??_ ;_-@_ </c:formatCode>
                <c:ptCount val="7"/>
                <c:pt idx="0">
                  <c:v>341000</c:v>
                </c:pt>
                <c:pt idx="1">
                  <c:v>341000</c:v>
                </c:pt>
                <c:pt idx="2">
                  <c:v>341000</c:v>
                </c:pt>
                <c:pt idx="3">
                  <c:v>423000</c:v>
                </c:pt>
                <c:pt idx="4">
                  <c:v>341000</c:v>
                </c:pt>
                <c:pt idx="5">
                  <c:v>341000</c:v>
                </c:pt>
                <c:pt idx="6">
                  <c:v>341000</c:v>
                </c:pt>
              </c:numCache>
            </c:numRef>
          </c:val>
          <c:smooth val="0"/>
          <c:extLst>
            <c:ext xmlns:c16="http://schemas.microsoft.com/office/drawing/2014/chart" uri="{C3380CC4-5D6E-409C-BE32-E72D297353CC}">
              <c16:uniqueId val="{00000000-7B40-44FC-909C-A37531F7FEAC}"/>
            </c:ext>
          </c:extLst>
        </c:ser>
        <c:dLbls>
          <c:showLegendKey val="0"/>
          <c:showVal val="0"/>
          <c:showCatName val="0"/>
          <c:showSerName val="0"/>
          <c:showPercent val="0"/>
          <c:showBubbleSize val="0"/>
        </c:dLbls>
        <c:marker val="1"/>
        <c:smooth val="0"/>
        <c:axId val="498140559"/>
        <c:axId val="498142479"/>
      </c:lineChart>
      <c:catAx>
        <c:axId val="498140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2479"/>
        <c:crosses val="autoZero"/>
        <c:auto val="1"/>
        <c:lblAlgn val="ctr"/>
        <c:lblOffset val="100"/>
        <c:noMultiLvlLbl val="0"/>
      </c:catAx>
      <c:valAx>
        <c:axId val="49814247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[Hotel_Profit.xlsx]Pivot!PivotTable6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Pendapatan</a:t>
            </a:r>
            <a:r>
              <a:rPr lang="en-ID" baseline="0"/>
              <a:t> Bulan Maret</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Pivot!$A$27:$A$35</c:f>
              <c:multiLvlStrCache>
                <c:ptCount val="7"/>
                <c:lvl>
                  <c:pt idx="0">
                    <c:v>1</c:v>
                  </c:pt>
                  <c:pt idx="1">
                    <c:v>2</c:v>
                  </c:pt>
                  <c:pt idx="2">
                    <c:v>3</c:v>
                  </c:pt>
                  <c:pt idx="3">
                    <c:v>4</c:v>
                  </c:pt>
                  <c:pt idx="4">
                    <c:v>5</c:v>
                  </c:pt>
                  <c:pt idx="5">
                    <c:v>6</c:v>
                  </c:pt>
                  <c:pt idx="6">
                    <c:v>7</c:v>
                  </c:pt>
                </c:lvl>
                <c:lvl>
                  <c:pt idx="0">
                    <c:v>Maret</c:v>
                  </c:pt>
                </c:lvl>
              </c:multiLvlStrCache>
            </c:multiLvlStrRef>
          </c:cat>
          <c:val>
            <c:numRef>
              <c:f>Pivot!$B$27:$B$35</c:f>
              <c:numCache>
                <c:formatCode>_-[$$-409]* #,##0_ ;_-[$$-409]* \-#,##0\ ;_-[$$-409]* "-"??_ ;_-@_ </c:formatCode>
                <c:ptCount val="7"/>
                <c:pt idx="0">
                  <c:v>255000</c:v>
                </c:pt>
                <c:pt idx="1">
                  <c:v>255000</c:v>
                </c:pt>
                <c:pt idx="2">
                  <c:v>170000</c:v>
                </c:pt>
                <c:pt idx="3">
                  <c:v>165000</c:v>
                </c:pt>
                <c:pt idx="4">
                  <c:v>266000</c:v>
                </c:pt>
                <c:pt idx="5">
                  <c:v>255000</c:v>
                </c:pt>
                <c:pt idx="6">
                  <c:v>255000</c:v>
                </c:pt>
              </c:numCache>
            </c:numRef>
          </c:val>
          <c:smooth val="0"/>
          <c:extLst>
            <c:ext xmlns:c16="http://schemas.microsoft.com/office/drawing/2014/chart" uri="{C3380CC4-5D6E-409C-BE32-E72D297353CC}">
              <c16:uniqueId val="{00000000-4DA2-414D-87C3-2AD4E5F04753}"/>
            </c:ext>
          </c:extLst>
        </c:ser>
        <c:dLbls>
          <c:showLegendKey val="0"/>
          <c:showVal val="0"/>
          <c:showCatName val="0"/>
          <c:showSerName val="0"/>
          <c:showPercent val="0"/>
          <c:showBubbleSize val="0"/>
        </c:dLbls>
        <c:marker val="1"/>
        <c:smooth val="0"/>
        <c:axId val="498145839"/>
        <c:axId val="498147759"/>
      </c:lineChart>
      <c:catAx>
        <c:axId val="498145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7759"/>
        <c:crosses val="autoZero"/>
        <c:auto val="1"/>
        <c:lblAlgn val="ctr"/>
        <c:lblOffset val="100"/>
        <c:noMultiLvlLbl val="0"/>
      </c:catAx>
      <c:valAx>
        <c:axId val="49814775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4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[Hotel_Profit.xlsx]Pivot!PivotTable7</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Profit Per Bulan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Pivot!$I$5:$I$8</c:f>
              <c:strCache>
                <c:ptCount val="3"/>
                <c:pt idx="0">
                  <c:v>Januari</c:v>
                </c:pt>
                <c:pt idx="1">
                  <c:v>Februari</c:v>
                </c:pt>
                <c:pt idx="2">
                  <c:v>Maret</c:v>
                </c:pt>
              </c:strCache>
            </c:strRef>
          </c:cat>
          <c:val>
            <c:numRef>
              <c:f>Pivot!$J$5:$J$8</c:f>
              <c:numCache>
                <c:formatCode>_-[$$-409]* #,##0_ ;_-[$$-409]* \-#,##0\ ;_-[$$-409]* "-"??_ ;_-@_ </c:formatCode>
                <c:ptCount val="3"/>
                <c:pt idx="0">
                  <c:v>440000</c:v>
                </c:pt>
                <c:pt idx="1">
                  <c:v>411500</c:v>
                </c:pt>
                <c:pt idx="2">
                  <c:v>261500</c:v>
                </c:pt>
              </c:numCache>
            </c:numRef>
          </c:val>
          <c:extLst>
            <c:ext xmlns:c16="http://schemas.microsoft.com/office/drawing/2014/chart" uri="{C3380CC4-5D6E-409C-BE32-E72D297353CC}">
              <c16:uniqueId val="{00000000-65CE-42A2-9513-6BA4C88A86D8}"/>
            </c:ext>
          </c:extLst>
        </c:ser>
        <c:dLbls>
          <c:dLblPos val="outEnd"/>
          <c:showLegendKey val="0"/>
          <c:showVal val="1"/>
          <c:showCatName val="0"/>
          <c:showSerName val="0"/>
          <c:showPercent val="0"/>
          <c:showBubbleSize val="0"/>
        </c:dLbls>
        <c:gapWidth val="355"/>
        <c:overlap val="-70"/>
        <c:axId val="498098319"/>
        <c:axId val="498103119"/>
      </c:barChart>
      <c:catAx>
        <c:axId val="49809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03119"/>
        <c:crosses val="autoZero"/>
        <c:auto val="1"/>
        <c:lblAlgn val="ctr"/>
        <c:lblOffset val="100"/>
        <c:noMultiLvlLbl val="0"/>
      </c:catAx>
      <c:valAx>
        <c:axId val="49810311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9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477366</xdr:colOff>
      <xdr:row>11</xdr:row>
      <xdr:rowOff>71437</xdr:rowOff>
    </xdr:from>
    <xdr:to>
      <xdr:col>26</xdr:col>
      <xdr:colOff>476251</xdr:colOff>
      <xdr:row>56</xdr:row>
      <xdr:rowOff>130546</xdr:rowOff>
    </xdr:to>
    <xdr:sp macro="" textlink="">
      <xdr:nvSpPr>
        <xdr:cNvPr id="2" name="Rectangle 1">
          <a:extLst>
            <a:ext uri="{FF2B5EF4-FFF2-40B4-BE49-F238E27FC236}">
              <a16:creationId xmlns:a16="http://schemas.microsoft.com/office/drawing/2014/main" id="{9E291543-1970-41C1-BA24-9B831713EA22}"/>
            </a:ext>
          </a:extLst>
        </xdr:cNvPr>
        <xdr:cNvSpPr/>
      </xdr:nvSpPr>
      <xdr:spPr>
        <a:xfrm>
          <a:off x="477366" y="2166937"/>
          <a:ext cx="16048510" cy="8822109"/>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7154</xdr:colOff>
      <xdr:row>35</xdr:row>
      <xdr:rowOff>32893</xdr:rowOff>
    </xdr:from>
    <xdr:to>
      <xdr:col>14</xdr:col>
      <xdr:colOff>568158</xdr:colOff>
      <xdr:row>56</xdr:row>
      <xdr:rowOff>56030</xdr:rowOff>
    </xdr:to>
    <xdr:graphicFrame macro="">
      <xdr:nvGraphicFramePr>
        <xdr:cNvPr id="3" name="Chart 2">
          <a:extLst>
            <a:ext uri="{FF2B5EF4-FFF2-40B4-BE49-F238E27FC236}">
              <a16:creationId xmlns:a16="http://schemas.microsoft.com/office/drawing/2014/main" id="{30B859BD-8516-4CA9-85F9-15B373C8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110865</xdr:colOff>
      <xdr:row>18</xdr:row>
      <xdr:rowOff>109249</xdr:rowOff>
    </xdr:from>
    <xdr:to>
      <xdr:col>8</xdr:col>
      <xdr:colOff>588309</xdr:colOff>
      <xdr:row>34</xdr:row>
      <xdr:rowOff>30788</xdr:rowOff>
    </xdr:to>
    <xdr:graphicFrame macro="">
      <xdr:nvGraphicFramePr>
        <xdr:cNvPr id="4" name="Chart 3">
          <a:extLst>
            <a:ext uri="{FF2B5EF4-FFF2-40B4-BE49-F238E27FC236}">
              <a16:creationId xmlns:a16="http://schemas.microsoft.com/office/drawing/2014/main" id="{70888FDE-0EEA-4531-8FBE-B60066BFD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196103</xdr:colOff>
      <xdr:row>18</xdr:row>
      <xdr:rowOff>105834</xdr:rowOff>
    </xdr:from>
    <xdr:to>
      <xdr:col>17</xdr:col>
      <xdr:colOff>252132</xdr:colOff>
      <xdr:row>34</xdr:row>
      <xdr:rowOff>44258</xdr:rowOff>
    </xdr:to>
    <xdr:graphicFrame macro="">
      <xdr:nvGraphicFramePr>
        <xdr:cNvPr id="5" name="Chart 4">
          <a:extLst>
            <a:ext uri="{FF2B5EF4-FFF2-40B4-BE49-F238E27FC236}">
              <a16:creationId xmlns:a16="http://schemas.microsoft.com/office/drawing/2014/main" id="{04030807-FE22-485E-B6FF-E300CDD17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500343</xdr:colOff>
      <xdr:row>18</xdr:row>
      <xdr:rowOff>86283</xdr:rowOff>
    </xdr:from>
    <xdr:to>
      <xdr:col>26</xdr:col>
      <xdr:colOff>84045</xdr:colOff>
      <xdr:row>34</xdr:row>
      <xdr:rowOff>16710</xdr:rowOff>
    </xdr:to>
    <xdr:graphicFrame macro="">
      <xdr:nvGraphicFramePr>
        <xdr:cNvPr id="6" name="Chart 5">
          <a:extLst>
            <a:ext uri="{FF2B5EF4-FFF2-40B4-BE49-F238E27FC236}">
              <a16:creationId xmlns:a16="http://schemas.microsoft.com/office/drawing/2014/main" id="{1F7B486D-D9AC-4138-85D4-BDD0EDCCF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249488</xdr:colOff>
      <xdr:row>35</xdr:row>
      <xdr:rowOff>47456</xdr:rowOff>
    </xdr:from>
    <xdr:to>
      <xdr:col>26</xdr:col>
      <xdr:colOff>167104</xdr:colOff>
      <xdr:row>55</xdr:row>
      <xdr:rowOff>133685</xdr:rowOff>
    </xdr:to>
    <xdr:graphicFrame macro="">
      <xdr:nvGraphicFramePr>
        <xdr:cNvPr id="7" name="Chart 6">
          <a:extLst>
            <a:ext uri="{FF2B5EF4-FFF2-40B4-BE49-F238E27FC236}">
              <a16:creationId xmlns:a16="http://schemas.microsoft.com/office/drawing/2014/main" id="{185C47C9-9787-47CB-9986-B4244E1E6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xdr:colOff>
      <xdr:row>12</xdr:row>
      <xdr:rowOff>61913</xdr:rowOff>
    </xdr:from>
    <xdr:to>
      <xdr:col>26</xdr:col>
      <xdr:colOff>49266</xdr:colOff>
      <xdr:row>18</xdr:row>
      <xdr:rowOff>4762</xdr:rowOff>
    </xdr:to>
    <mc:AlternateContent xmlns:mc="http://schemas.openxmlformats.org/markup-compatibility/2006" xmlns:a14="http://schemas.microsoft.com/office/drawing/2010/main">
      <mc:Choice Requires="a14">
        <xdr:graphicFrame macro="">
          <xdr:nvGraphicFramePr>
            <xdr:cNvPr id="8" name="Booking_Channel">
              <a:extLst>
                <a:ext uri="{FF2B5EF4-FFF2-40B4-BE49-F238E27FC236}">
                  <a16:creationId xmlns:a16="http://schemas.microsoft.com/office/drawing/2014/main" id="{E1D66DB1-9AC0-2A79-E5BF-803E31B94B24}"/>
                </a:ext>
              </a:extLst>
            </xdr:cNvPr>
            <xdr:cNvGraphicFramePr/>
          </xdr:nvGraphicFramePr>
          <xdr:xfrm>
            <a:off x="0" y="0"/>
            <a:ext cx="0" cy="0"/>
          </xdr:xfrm>
          <a:graphic>
            <a:graphicData uri="http://schemas.microsoft.com/office/drawing/2010/slicer">
              <sle:slicer xmlns:sle="http://schemas.microsoft.com/office/drawing/2010/slicer" name="Booking_Channel"/>
            </a:graphicData>
          </a:graphic>
        </xdr:graphicFrame>
      </mc:Choice>
      <mc:Fallback xmlns="">
        <xdr:sp macro="" textlink="">
          <xdr:nvSpPr>
            <xdr:cNvPr id="0" name=""/>
            <xdr:cNvSpPr>
              <a:spLocks noTextEdit="1"/>
            </xdr:cNvSpPr>
          </xdr:nvSpPr>
          <xdr:spPr>
            <a:xfrm>
              <a:off x="11167240" y="2459585"/>
              <a:ext cx="5041681" cy="12566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5.459051273145" createdVersion="8" refreshedVersion="8" minRefreshableVersion="3" recordCount="79" xr:uid="{BE978F2D-1E87-463E-BF2E-D1417D08D9B0}">
  <cacheSource type="worksheet">
    <worksheetSource name="Table1"/>
  </cacheSource>
  <cacheFields count="18">
    <cacheField name="Date" numFmtId="14">
      <sharedItems containsSemiMixedTypes="0" containsNonDate="0" containsDate="1" containsString="0" minDate="2024-01-01T00:00:00" maxDate="2024-03-20T00:00:00"/>
    </cacheField>
    <cacheField name="Month" numFmtId="0">
      <sharedItems count="3">
        <s v="Januari"/>
        <s v="Februari"/>
        <s v="Maret"/>
      </sharedItems>
    </cacheField>
    <cacheField name="Weekday" numFmtId="0">
      <sharedItems containsSemiMixedTypes="0" containsString="0" containsNumber="1" containsInteger="1" minValue="1" maxValue="7" count="7">
        <n v="1"/>
        <n v="2"/>
        <n v="3"/>
        <n v="4"/>
        <n v="5"/>
        <n v="6"/>
        <n v="7"/>
      </sharedItems>
    </cacheField>
    <cacheField name="Season" numFmtId="0">
      <sharedItems count="2">
        <s v="Winter"/>
        <s v="Spring"/>
      </sharedItems>
    </cacheField>
    <cacheField name="Holiday" numFmtId="0">
      <sharedItems/>
    </cacheField>
    <cacheField name="Booking_Channel" numFmtId="0">
      <sharedItems count="2">
        <s v="Direct"/>
        <s v="OTA"/>
      </sharedItems>
    </cacheField>
    <cacheField name="Guest_Type" numFmtId="0">
      <sharedItems count="2">
        <s v="Leisure"/>
        <s v="Business"/>
      </sharedItems>
    </cacheField>
    <cacheField name="Guest_Country" numFmtId="0">
      <sharedItems count="6">
        <s v="USA"/>
        <s v="UK"/>
        <s v="Germany"/>
        <s v="France"/>
        <s v="Italy"/>
        <s v="Spain"/>
      </sharedItems>
    </cacheField>
    <cacheField name="Revenue" numFmtId="164">
      <sharedItems containsSemiMixedTypes="0" containsString="0" containsNumber="1" containsInteger="1" minValue="80000" maxValue="91000" count="6">
        <n v="80000"/>
        <n v="85000"/>
        <n v="90000"/>
        <n v="82000"/>
        <n v="88000"/>
        <n v="91000"/>
      </sharedItems>
    </cacheField>
    <cacheField name="Room_Revenue" numFmtId="164">
      <sharedItems containsSemiMixedTypes="0" containsString="0" containsNumber="1" containsInteger="1" minValue="45000" maxValue="50000"/>
    </cacheField>
    <cacheField name="Food_&amp;_Baverage_Revenue" numFmtId="164">
      <sharedItems containsSemiMixedTypes="0" containsString="0" containsNumber="1" containsInteger="1" minValue="35000" maxValue="41000"/>
    </cacheField>
    <cacheField name="Marketing_Spend" numFmtId="164">
      <sharedItems containsSemiMixedTypes="0" containsString="0" containsNumber="1" containsInteger="1" minValue="50000" maxValue="70000" count="5">
        <n v="50000"/>
        <n v="60000"/>
        <n v="70000"/>
        <n v="55000"/>
        <n v="65000"/>
      </sharedItems>
    </cacheField>
    <cacheField name="Operating_Expenses" numFmtId="164">
      <sharedItems containsSemiMixedTypes="0" containsString="0" containsNumber="1" containsInteger="1" minValue="10000" maxValue="12000" count="4">
        <n v="10000"/>
        <n v="12000"/>
        <n v="11000"/>
        <n v="11500"/>
      </sharedItems>
    </cacheField>
    <cacheField name="Fixed_Costs" numFmtId="164">
      <sharedItems containsSemiMixedTypes="0" containsString="0" containsNumber="1" containsInteger="1" minValue="5000" maxValue="7000"/>
    </cacheField>
    <cacheField name="Variable_Costs" numFmtId="164">
      <sharedItems containsSemiMixedTypes="0" containsString="0" containsNumber="1" containsInteger="1" minValue="65000" maxValue="76000"/>
    </cacheField>
    <cacheField name="Total_costs" numFmtId="164">
      <sharedItems containsSemiMixedTypes="0" containsString="0" containsNumber="1" containsInteger="1" minValue="70000" maxValue="83000" count="5">
        <n v="70000"/>
        <n v="79000"/>
        <n v="83000"/>
        <n v="74000"/>
        <n v="82500"/>
      </sharedItems>
    </cacheField>
    <cacheField name="Profit" numFmtId="164">
      <sharedItems containsSemiMixedTypes="0" containsString="0" containsNumber="1" containsInteger="1" minValue="9000" maxValue="20000"/>
    </cacheField>
    <cacheField name="Total Expenses" numFmtId="0" formula="Marketing_Spend+Operating_Expenses" databaseField="0"/>
  </cacheFields>
  <extLst>
    <ext xmlns:x14="http://schemas.microsoft.com/office/spreadsheetml/2009/9/main" uri="{725AE2AE-9491-48be-B2B4-4EB974FC3084}">
      <x14:pivotCacheDefinition pivotCacheId="1448301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d v="2024-01-01T00:00:00"/>
    <x v="0"/>
    <x v="0"/>
    <x v="0"/>
    <s v="Yes"/>
    <x v="0"/>
    <x v="0"/>
    <x v="0"/>
    <x v="0"/>
    <n v="45000"/>
    <n v="35000"/>
    <x v="0"/>
    <x v="0"/>
    <n v="5000"/>
    <n v="65000"/>
    <x v="0"/>
    <n v="20000"/>
  </r>
  <r>
    <d v="2024-01-02T00:00:00"/>
    <x v="0"/>
    <x v="1"/>
    <x v="0"/>
    <s v="No"/>
    <x v="1"/>
    <x v="1"/>
    <x v="1"/>
    <x v="1"/>
    <n v="48000"/>
    <n v="37000"/>
    <x v="1"/>
    <x v="1"/>
    <n v="6000"/>
    <n v="73000"/>
    <x v="1"/>
    <n v="13000"/>
  </r>
  <r>
    <d v="2024-01-03T00:00:00"/>
    <x v="0"/>
    <x v="2"/>
    <x v="0"/>
    <s v="No"/>
    <x v="0"/>
    <x v="0"/>
    <x v="2"/>
    <x v="2"/>
    <n v="49000"/>
    <n v="41000"/>
    <x v="2"/>
    <x v="2"/>
    <n v="7000"/>
    <n v="76000"/>
    <x v="2"/>
    <n v="9000"/>
  </r>
  <r>
    <d v="2024-01-04T00:00:00"/>
    <x v="0"/>
    <x v="3"/>
    <x v="0"/>
    <s v="Yes"/>
    <x v="0"/>
    <x v="0"/>
    <x v="0"/>
    <x v="0"/>
    <n v="45000"/>
    <n v="35000"/>
    <x v="0"/>
    <x v="0"/>
    <n v="5000"/>
    <n v="65000"/>
    <x v="0"/>
    <n v="20000"/>
  </r>
  <r>
    <d v="2024-01-05T00:00:00"/>
    <x v="0"/>
    <x v="4"/>
    <x v="0"/>
    <s v="No"/>
    <x v="1"/>
    <x v="1"/>
    <x v="1"/>
    <x v="1"/>
    <n v="48000"/>
    <n v="37000"/>
    <x v="1"/>
    <x v="1"/>
    <n v="6000"/>
    <n v="73000"/>
    <x v="1"/>
    <n v="13000"/>
  </r>
  <r>
    <d v="2024-01-06T00:00:00"/>
    <x v="0"/>
    <x v="5"/>
    <x v="0"/>
    <s v="No"/>
    <x v="0"/>
    <x v="0"/>
    <x v="2"/>
    <x v="2"/>
    <n v="49000"/>
    <n v="41000"/>
    <x v="2"/>
    <x v="2"/>
    <n v="7000"/>
    <n v="76000"/>
    <x v="2"/>
    <n v="9000"/>
  </r>
  <r>
    <d v="2024-01-07T00:00:00"/>
    <x v="0"/>
    <x v="6"/>
    <x v="0"/>
    <s v="No"/>
    <x v="0"/>
    <x v="0"/>
    <x v="0"/>
    <x v="0"/>
    <n v="45000"/>
    <n v="35000"/>
    <x v="0"/>
    <x v="0"/>
    <n v="5000"/>
    <n v="65000"/>
    <x v="0"/>
    <n v="20000"/>
  </r>
  <r>
    <d v="2024-01-08T00:00:00"/>
    <x v="0"/>
    <x v="0"/>
    <x v="0"/>
    <s v="No"/>
    <x v="1"/>
    <x v="1"/>
    <x v="1"/>
    <x v="1"/>
    <n v="48000"/>
    <n v="37000"/>
    <x v="1"/>
    <x v="1"/>
    <n v="6000"/>
    <n v="73000"/>
    <x v="1"/>
    <n v="13000"/>
  </r>
  <r>
    <d v="2024-01-09T00:00:00"/>
    <x v="0"/>
    <x v="1"/>
    <x v="0"/>
    <s v="No"/>
    <x v="0"/>
    <x v="0"/>
    <x v="2"/>
    <x v="2"/>
    <n v="49000"/>
    <n v="41000"/>
    <x v="2"/>
    <x v="2"/>
    <n v="7000"/>
    <n v="76000"/>
    <x v="2"/>
    <n v="9000"/>
  </r>
  <r>
    <d v="2024-01-10T00:00:00"/>
    <x v="0"/>
    <x v="2"/>
    <x v="0"/>
    <s v="No"/>
    <x v="0"/>
    <x v="0"/>
    <x v="0"/>
    <x v="0"/>
    <n v="45000"/>
    <n v="35000"/>
    <x v="0"/>
    <x v="0"/>
    <n v="5000"/>
    <n v="65000"/>
    <x v="0"/>
    <n v="20000"/>
  </r>
  <r>
    <d v="2024-01-11T00:00:00"/>
    <x v="0"/>
    <x v="3"/>
    <x v="0"/>
    <s v="Yes"/>
    <x v="1"/>
    <x v="1"/>
    <x v="1"/>
    <x v="1"/>
    <n v="48000"/>
    <n v="37000"/>
    <x v="1"/>
    <x v="1"/>
    <n v="6000"/>
    <n v="73000"/>
    <x v="1"/>
    <n v="13000"/>
  </r>
  <r>
    <d v="2024-01-12T00:00:00"/>
    <x v="0"/>
    <x v="4"/>
    <x v="0"/>
    <s v="No"/>
    <x v="0"/>
    <x v="0"/>
    <x v="2"/>
    <x v="2"/>
    <n v="49000"/>
    <n v="41000"/>
    <x v="2"/>
    <x v="2"/>
    <n v="7000"/>
    <n v="76000"/>
    <x v="2"/>
    <n v="9000"/>
  </r>
  <r>
    <d v="2024-01-13T00:00:00"/>
    <x v="0"/>
    <x v="5"/>
    <x v="0"/>
    <s v="No"/>
    <x v="0"/>
    <x v="0"/>
    <x v="0"/>
    <x v="0"/>
    <n v="45000"/>
    <n v="35000"/>
    <x v="0"/>
    <x v="0"/>
    <n v="5000"/>
    <n v="65000"/>
    <x v="0"/>
    <n v="20000"/>
  </r>
  <r>
    <d v="2024-01-14T00:00:00"/>
    <x v="0"/>
    <x v="6"/>
    <x v="0"/>
    <s v="No"/>
    <x v="1"/>
    <x v="1"/>
    <x v="1"/>
    <x v="1"/>
    <n v="48000"/>
    <n v="37000"/>
    <x v="1"/>
    <x v="1"/>
    <n v="6000"/>
    <n v="73000"/>
    <x v="1"/>
    <n v="13000"/>
  </r>
  <r>
    <d v="2024-01-15T00:00:00"/>
    <x v="0"/>
    <x v="0"/>
    <x v="0"/>
    <s v="No"/>
    <x v="0"/>
    <x v="0"/>
    <x v="2"/>
    <x v="2"/>
    <n v="49000"/>
    <n v="41000"/>
    <x v="2"/>
    <x v="2"/>
    <n v="7000"/>
    <n v="76000"/>
    <x v="2"/>
    <n v="9000"/>
  </r>
  <r>
    <d v="2024-01-16T00:00:00"/>
    <x v="0"/>
    <x v="1"/>
    <x v="0"/>
    <s v="No"/>
    <x v="0"/>
    <x v="0"/>
    <x v="0"/>
    <x v="0"/>
    <n v="45000"/>
    <n v="35000"/>
    <x v="0"/>
    <x v="0"/>
    <n v="5000"/>
    <n v="65000"/>
    <x v="0"/>
    <n v="20000"/>
  </r>
  <r>
    <d v="2024-01-17T00:00:00"/>
    <x v="0"/>
    <x v="2"/>
    <x v="0"/>
    <s v="No"/>
    <x v="1"/>
    <x v="1"/>
    <x v="1"/>
    <x v="1"/>
    <n v="48000"/>
    <n v="37000"/>
    <x v="1"/>
    <x v="1"/>
    <n v="6000"/>
    <n v="73000"/>
    <x v="1"/>
    <n v="13000"/>
  </r>
  <r>
    <d v="2024-01-18T00:00:00"/>
    <x v="0"/>
    <x v="3"/>
    <x v="0"/>
    <s v="Yes"/>
    <x v="0"/>
    <x v="0"/>
    <x v="2"/>
    <x v="2"/>
    <n v="49000"/>
    <n v="41000"/>
    <x v="2"/>
    <x v="2"/>
    <n v="7000"/>
    <n v="76000"/>
    <x v="2"/>
    <n v="9000"/>
  </r>
  <r>
    <d v="2024-01-19T00:00:00"/>
    <x v="0"/>
    <x v="4"/>
    <x v="0"/>
    <s v="No"/>
    <x v="0"/>
    <x v="0"/>
    <x v="0"/>
    <x v="0"/>
    <n v="45000"/>
    <n v="35000"/>
    <x v="0"/>
    <x v="0"/>
    <n v="5000"/>
    <n v="65000"/>
    <x v="0"/>
    <n v="20000"/>
  </r>
  <r>
    <d v="2024-01-20T00:00:00"/>
    <x v="0"/>
    <x v="5"/>
    <x v="0"/>
    <s v="No"/>
    <x v="1"/>
    <x v="1"/>
    <x v="1"/>
    <x v="1"/>
    <n v="48000"/>
    <n v="37000"/>
    <x v="1"/>
    <x v="1"/>
    <n v="6000"/>
    <n v="73000"/>
    <x v="1"/>
    <n v="13000"/>
  </r>
  <r>
    <d v="2024-01-21T00:00:00"/>
    <x v="0"/>
    <x v="6"/>
    <x v="0"/>
    <s v="No"/>
    <x v="0"/>
    <x v="0"/>
    <x v="2"/>
    <x v="2"/>
    <n v="49000"/>
    <n v="41000"/>
    <x v="2"/>
    <x v="2"/>
    <n v="7000"/>
    <n v="76000"/>
    <x v="2"/>
    <n v="9000"/>
  </r>
  <r>
    <d v="2024-01-22T00:00:00"/>
    <x v="0"/>
    <x v="0"/>
    <x v="0"/>
    <s v="No"/>
    <x v="0"/>
    <x v="0"/>
    <x v="0"/>
    <x v="0"/>
    <n v="45000"/>
    <n v="35000"/>
    <x v="0"/>
    <x v="0"/>
    <n v="5000"/>
    <n v="65000"/>
    <x v="0"/>
    <n v="20000"/>
  </r>
  <r>
    <d v="2024-01-23T00:00:00"/>
    <x v="0"/>
    <x v="1"/>
    <x v="0"/>
    <s v="No"/>
    <x v="1"/>
    <x v="1"/>
    <x v="1"/>
    <x v="1"/>
    <n v="48000"/>
    <n v="37000"/>
    <x v="1"/>
    <x v="1"/>
    <n v="6000"/>
    <n v="73000"/>
    <x v="1"/>
    <n v="13000"/>
  </r>
  <r>
    <d v="2024-01-24T00:00:00"/>
    <x v="0"/>
    <x v="2"/>
    <x v="0"/>
    <s v="No"/>
    <x v="0"/>
    <x v="0"/>
    <x v="2"/>
    <x v="2"/>
    <n v="49000"/>
    <n v="41000"/>
    <x v="2"/>
    <x v="2"/>
    <n v="7000"/>
    <n v="76000"/>
    <x v="2"/>
    <n v="9000"/>
  </r>
  <r>
    <d v="2024-01-25T00:00:00"/>
    <x v="0"/>
    <x v="3"/>
    <x v="0"/>
    <s v="Yes"/>
    <x v="0"/>
    <x v="0"/>
    <x v="0"/>
    <x v="0"/>
    <n v="45000"/>
    <n v="35000"/>
    <x v="0"/>
    <x v="0"/>
    <n v="5000"/>
    <n v="65000"/>
    <x v="0"/>
    <n v="20000"/>
  </r>
  <r>
    <d v="2024-01-26T00:00:00"/>
    <x v="0"/>
    <x v="4"/>
    <x v="0"/>
    <s v="No"/>
    <x v="1"/>
    <x v="1"/>
    <x v="1"/>
    <x v="1"/>
    <n v="48000"/>
    <n v="37000"/>
    <x v="1"/>
    <x v="1"/>
    <n v="6000"/>
    <n v="73000"/>
    <x v="1"/>
    <n v="13000"/>
  </r>
  <r>
    <d v="2024-01-27T00:00:00"/>
    <x v="0"/>
    <x v="5"/>
    <x v="0"/>
    <s v="No"/>
    <x v="0"/>
    <x v="0"/>
    <x v="2"/>
    <x v="2"/>
    <n v="49000"/>
    <n v="41000"/>
    <x v="2"/>
    <x v="2"/>
    <n v="7000"/>
    <n v="76000"/>
    <x v="2"/>
    <n v="9000"/>
  </r>
  <r>
    <d v="2024-01-28T00:00:00"/>
    <x v="0"/>
    <x v="6"/>
    <x v="0"/>
    <s v="No"/>
    <x v="0"/>
    <x v="0"/>
    <x v="0"/>
    <x v="0"/>
    <n v="45000"/>
    <n v="35000"/>
    <x v="0"/>
    <x v="0"/>
    <n v="5000"/>
    <n v="65000"/>
    <x v="0"/>
    <n v="20000"/>
  </r>
  <r>
    <d v="2024-01-29T00:00:00"/>
    <x v="0"/>
    <x v="0"/>
    <x v="0"/>
    <s v="No"/>
    <x v="1"/>
    <x v="1"/>
    <x v="1"/>
    <x v="1"/>
    <n v="48000"/>
    <n v="37000"/>
    <x v="1"/>
    <x v="1"/>
    <n v="6000"/>
    <n v="73000"/>
    <x v="1"/>
    <n v="13000"/>
  </r>
  <r>
    <d v="2024-01-30T00:00:00"/>
    <x v="0"/>
    <x v="1"/>
    <x v="0"/>
    <s v="No"/>
    <x v="0"/>
    <x v="0"/>
    <x v="2"/>
    <x v="2"/>
    <n v="49000"/>
    <n v="41000"/>
    <x v="2"/>
    <x v="2"/>
    <n v="7000"/>
    <n v="76000"/>
    <x v="2"/>
    <n v="9000"/>
  </r>
  <r>
    <d v="2024-01-31T00:00:00"/>
    <x v="0"/>
    <x v="2"/>
    <x v="0"/>
    <s v="No"/>
    <x v="0"/>
    <x v="0"/>
    <x v="0"/>
    <x v="0"/>
    <n v="45000"/>
    <n v="35000"/>
    <x v="0"/>
    <x v="0"/>
    <n v="5000"/>
    <n v="65000"/>
    <x v="0"/>
    <n v="20000"/>
  </r>
  <r>
    <d v="2024-02-01T00:00:00"/>
    <x v="1"/>
    <x v="3"/>
    <x v="0"/>
    <s v="No"/>
    <x v="1"/>
    <x v="1"/>
    <x v="3"/>
    <x v="3"/>
    <n v="47000"/>
    <n v="35000"/>
    <x v="3"/>
    <x v="2"/>
    <n v="5000"/>
    <n v="69000"/>
    <x v="3"/>
    <n v="16000"/>
  </r>
  <r>
    <d v="2024-02-02T00:00:00"/>
    <x v="1"/>
    <x v="4"/>
    <x v="0"/>
    <s v="Yes"/>
    <x v="0"/>
    <x v="0"/>
    <x v="4"/>
    <x v="4"/>
    <n v="49000"/>
    <n v="39000"/>
    <x v="4"/>
    <x v="1"/>
    <n v="6000"/>
    <n v="73000"/>
    <x v="1"/>
    <n v="11000"/>
  </r>
  <r>
    <d v="2024-02-03T00:00:00"/>
    <x v="1"/>
    <x v="5"/>
    <x v="0"/>
    <s v="No"/>
    <x v="1"/>
    <x v="1"/>
    <x v="5"/>
    <x v="5"/>
    <n v="50000"/>
    <n v="41000"/>
    <x v="2"/>
    <x v="3"/>
    <n v="7000"/>
    <n v="75500"/>
    <x v="4"/>
    <n v="9500"/>
  </r>
  <r>
    <d v="2024-02-04T00:00:00"/>
    <x v="1"/>
    <x v="6"/>
    <x v="0"/>
    <s v="No"/>
    <x v="0"/>
    <x v="0"/>
    <x v="0"/>
    <x v="0"/>
    <n v="45000"/>
    <n v="35000"/>
    <x v="0"/>
    <x v="0"/>
    <n v="5000"/>
    <n v="65000"/>
    <x v="0"/>
    <n v="20000"/>
  </r>
  <r>
    <d v="2024-02-05T00:00:00"/>
    <x v="1"/>
    <x v="0"/>
    <x v="0"/>
    <s v="No"/>
    <x v="1"/>
    <x v="1"/>
    <x v="3"/>
    <x v="3"/>
    <n v="47000"/>
    <n v="35000"/>
    <x v="3"/>
    <x v="2"/>
    <n v="5000"/>
    <n v="69000"/>
    <x v="3"/>
    <n v="16000"/>
  </r>
  <r>
    <d v="2024-02-06T00:00:00"/>
    <x v="1"/>
    <x v="1"/>
    <x v="0"/>
    <s v="No"/>
    <x v="0"/>
    <x v="0"/>
    <x v="4"/>
    <x v="4"/>
    <n v="49000"/>
    <n v="39000"/>
    <x v="4"/>
    <x v="1"/>
    <n v="6000"/>
    <n v="73000"/>
    <x v="1"/>
    <n v="11000"/>
  </r>
  <r>
    <d v="2024-02-07T00:00:00"/>
    <x v="1"/>
    <x v="2"/>
    <x v="0"/>
    <s v="No"/>
    <x v="1"/>
    <x v="1"/>
    <x v="5"/>
    <x v="5"/>
    <n v="50000"/>
    <n v="41000"/>
    <x v="2"/>
    <x v="3"/>
    <n v="7000"/>
    <n v="75500"/>
    <x v="4"/>
    <n v="9500"/>
  </r>
  <r>
    <d v="2024-02-08T00:00:00"/>
    <x v="1"/>
    <x v="3"/>
    <x v="0"/>
    <s v="No"/>
    <x v="0"/>
    <x v="0"/>
    <x v="0"/>
    <x v="0"/>
    <n v="45000"/>
    <n v="35000"/>
    <x v="0"/>
    <x v="0"/>
    <n v="5000"/>
    <n v="65000"/>
    <x v="0"/>
    <n v="20000"/>
  </r>
  <r>
    <d v="2024-02-09T00:00:00"/>
    <x v="1"/>
    <x v="4"/>
    <x v="0"/>
    <s v="Yes"/>
    <x v="1"/>
    <x v="1"/>
    <x v="3"/>
    <x v="3"/>
    <n v="47000"/>
    <n v="35000"/>
    <x v="3"/>
    <x v="2"/>
    <n v="5000"/>
    <n v="69000"/>
    <x v="3"/>
    <n v="16000"/>
  </r>
  <r>
    <d v="2024-02-10T00:00:00"/>
    <x v="1"/>
    <x v="5"/>
    <x v="0"/>
    <s v="No"/>
    <x v="0"/>
    <x v="0"/>
    <x v="4"/>
    <x v="4"/>
    <n v="49000"/>
    <n v="39000"/>
    <x v="4"/>
    <x v="1"/>
    <n v="6000"/>
    <n v="73000"/>
    <x v="1"/>
    <n v="11000"/>
  </r>
  <r>
    <d v="2024-02-11T00:00:00"/>
    <x v="1"/>
    <x v="6"/>
    <x v="0"/>
    <s v="No"/>
    <x v="1"/>
    <x v="1"/>
    <x v="5"/>
    <x v="5"/>
    <n v="50000"/>
    <n v="41000"/>
    <x v="2"/>
    <x v="3"/>
    <n v="7000"/>
    <n v="75500"/>
    <x v="4"/>
    <n v="9500"/>
  </r>
  <r>
    <d v="2024-02-12T00:00:00"/>
    <x v="1"/>
    <x v="0"/>
    <x v="0"/>
    <s v="No"/>
    <x v="0"/>
    <x v="0"/>
    <x v="0"/>
    <x v="0"/>
    <n v="45000"/>
    <n v="35000"/>
    <x v="0"/>
    <x v="0"/>
    <n v="5000"/>
    <n v="65000"/>
    <x v="0"/>
    <n v="20000"/>
  </r>
  <r>
    <d v="2024-02-13T00:00:00"/>
    <x v="1"/>
    <x v="1"/>
    <x v="0"/>
    <s v="No"/>
    <x v="1"/>
    <x v="1"/>
    <x v="3"/>
    <x v="3"/>
    <n v="47000"/>
    <n v="35000"/>
    <x v="3"/>
    <x v="2"/>
    <n v="5000"/>
    <n v="69000"/>
    <x v="3"/>
    <n v="16000"/>
  </r>
  <r>
    <d v="2024-02-14T00:00:00"/>
    <x v="1"/>
    <x v="2"/>
    <x v="0"/>
    <s v="No"/>
    <x v="0"/>
    <x v="0"/>
    <x v="4"/>
    <x v="4"/>
    <n v="49000"/>
    <n v="39000"/>
    <x v="4"/>
    <x v="1"/>
    <n v="6000"/>
    <n v="73000"/>
    <x v="1"/>
    <n v="11000"/>
  </r>
  <r>
    <d v="2024-02-15T00:00:00"/>
    <x v="1"/>
    <x v="3"/>
    <x v="0"/>
    <s v="No"/>
    <x v="1"/>
    <x v="1"/>
    <x v="5"/>
    <x v="5"/>
    <n v="50000"/>
    <n v="41000"/>
    <x v="2"/>
    <x v="3"/>
    <n v="7000"/>
    <n v="75500"/>
    <x v="4"/>
    <n v="9500"/>
  </r>
  <r>
    <d v="2024-02-16T00:00:00"/>
    <x v="1"/>
    <x v="4"/>
    <x v="0"/>
    <s v="Yes"/>
    <x v="0"/>
    <x v="0"/>
    <x v="0"/>
    <x v="0"/>
    <n v="45000"/>
    <n v="35000"/>
    <x v="0"/>
    <x v="0"/>
    <n v="5000"/>
    <n v="65000"/>
    <x v="0"/>
    <n v="20000"/>
  </r>
  <r>
    <d v="2024-02-17T00:00:00"/>
    <x v="1"/>
    <x v="5"/>
    <x v="0"/>
    <s v="No"/>
    <x v="1"/>
    <x v="1"/>
    <x v="3"/>
    <x v="3"/>
    <n v="47000"/>
    <n v="35000"/>
    <x v="3"/>
    <x v="2"/>
    <n v="5000"/>
    <n v="69000"/>
    <x v="3"/>
    <n v="16000"/>
  </r>
  <r>
    <d v="2024-02-18T00:00:00"/>
    <x v="1"/>
    <x v="6"/>
    <x v="0"/>
    <s v="No"/>
    <x v="0"/>
    <x v="0"/>
    <x v="4"/>
    <x v="4"/>
    <n v="49000"/>
    <n v="39000"/>
    <x v="4"/>
    <x v="1"/>
    <n v="6000"/>
    <n v="73000"/>
    <x v="1"/>
    <n v="11000"/>
  </r>
  <r>
    <d v="2024-02-19T00:00:00"/>
    <x v="1"/>
    <x v="0"/>
    <x v="0"/>
    <s v="No"/>
    <x v="1"/>
    <x v="1"/>
    <x v="5"/>
    <x v="5"/>
    <n v="50000"/>
    <n v="41000"/>
    <x v="2"/>
    <x v="3"/>
    <n v="7000"/>
    <n v="75500"/>
    <x v="4"/>
    <n v="9500"/>
  </r>
  <r>
    <d v="2024-02-20T00:00:00"/>
    <x v="1"/>
    <x v="1"/>
    <x v="0"/>
    <s v="No"/>
    <x v="0"/>
    <x v="0"/>
    <x v="0"/>
    <x v="0"/>
    <n v="45000"/>
    <n v="35000"/>
    <x v="0"/>
    <x v="0"/>
    <n v="5000"/>
    <n v="65000"/>
    <x v="0"/>
    <n v="20000"/>
  </r>
  <r>
    <d v="2024-02-21T00:00:00"/>
    <x v="1"/>
    <x v="2"/>
    <x v="0"/>
    <s v="No"/>
    <x v="1"/>
    <x v="1"/>
    <x v="3"/>
    <x v="3"/>
    <n v="47000"/>
    <n v="35000"/>
    <x v="3"/>
    <x v="2"/>
    <n v="5000"/>
    <n v="69000"/>
    <x v="3"/>
    <n v="16000"/>
  </r>
  <r>
    <d v="2024-02-22T00:00:00"/>
    <x v="1"/>
    <x v="3"/>
    <x v="0"/>
    <s v="No"/>
    <x v="0"/>
    <x v="0"/>
    <x v="4"/>
    <x v="4"/>
    <n v="49000"/>
    <n v="39000"/>
    <x v="4"/>
    <x v="1"/>
    <n v="6000"/>
    <n v="73000"/>
    <x v="1"/>
    <n v="11000"/>
  </r>
  <r>
    <d v="2024-02-23T00:00:00"/>
    <x v="1"/>
    <x v="4"/>
    <x v="0"/>
    <s v="Yes"/>
    <x v="1"/>
    <x v="1"/>
    <x v="5"/>
    <x v="5"/>
    <n v="50000"/>
    <n v="41000"/>
    <x v="2"/>
    <x v="3"/>
    <n v="7000"/>
    <n v="75500"/>
    <x v="4"/>
    <n v="9500"/>
  </r>
  <r>
    <d v="2024-02-24T00:00:00"/>
    <x v="1"/>
    <x v="5"/>
    <x v="0"/>
    <s v="No"/>
    <x v="0"/>
    <x v="0"/>
    <x v="0"/>
    <x v="0"/>
    <n v="45000"/>
    <n v="35000"/>
    <x v="0"/>
    <x v="0"/>
    <n v="5000"/>
    <n v="65000"/>
    <x v="0"/>
    <n v="20000"/>
  </r>
  <r>
    <d v="2024-02-25T00:00:00"/>
    <x v="1"/>
    <x v="6"/>
    <x v="0"/>
    <s v="No"/>
    <x v="1"/>
    <x v="1"/>
    <x v="3"/>
    <x v="3"/>
    <n v="47000"/>
    <n v="35000"/>
    <x v="3"/>
    <x v="2"/>
    <n v="5000"/>
    <n v="69000"/>
    <x v="3"/>
    <n v="16000"/>
  </r>
  <r>
    <d v="2024-02-26T00:00:00"/>
    <x v="1"/>
    <x v="0"/>
    <x v="0"/>
    <s v="No"/>
    <x v="0"/>
    <x v="0"/>
    <x v="4"/>
    <x v="4"/>
    <n v="49000"/>
    <n v="39000"/>
    <x v="4"/>
    <x v="1"/>
    <n v="6000"/>
    <n v="73000"/>
    <x v="1"/>
    <n v="11000"/>
  </r>
  <r>
    <d v="2024-02-27T00:00:00"/>
    <x v="1"/>
    <x v="1"/>
    <x v="0"/>
    <s v="No"/>
    <x v="1"/>
    <x v="1"/>
    <x v="5"/>
    <x v="5"/>
    <n v="50000"/>
    <n v="41000"/>
    <x v="2"/>
    <x v="3"/>
    <n v="7000"/>
    <n v="75500"/>
    <x v="4"/>
    <n v="9500"/>
  </r>
  <r>
    <d v="2024-02-28T00:00:00"/>
    <x v="1"/>
    <x v="2"/>
    <x v="0"/>
    <s v="No"/>
    <x v="0"/>
    <x v="0"/>
    <x v="0"/>
    <x v="0"/>
    <n v="45000"/>
    <n v="35000"/>
    <x v="0"/>
    <x v="0"/>
    <n v="5000"/>
    <n v="65000"/>
    <x v="0"/>
    <n v="20000"/>
  </r>
  <r>
    <d v="2024-02-29T00:00:00"/>
    <x v="1"/>
    <x v="3"/>
    <x v="0"/>
    <s v="No"/>
    <x v="1"/>
    <x v="1"/>
    <x v="3"/>
    <x v="3"/>
    <n v="47000"/>
    <n v="35000"/>
    <x v="3"/>
    <x v="2"/>
    <n v="5000"/>
    <n v="69000"/>
    <x v="3"/>
    <n v="16000"/>
  </r>
  <r>
    <d v="2024-03-01T00:00:00"/>
    <x v="2"/>
    <x v="4"/>
    <x v="1"/>
    <s v="Yes"/>
    <x v="1"/>
    <x v="1"/>
    <x v="5"/>
    <x v="5"/>
    <n v="50000"/>
    <n v="41000"/>
    <x v="2"/>
    <x v="3"/>
    <n v="7000"/>
    <n v="75500"/>
    <x v="4"/>
    <n v="9500"/>
  </r>
  <r>
    <d v="2024-03-02T00:00:00"/>
    <x v="2"/>
    <x v="5"/>
    <x v="1"/>
    <s v="No"/>
    <x v="1"/>
    <x v="1"/>
    <x v="1"/>
    <x v="1"/>
    <n v="48000"/>
    <n v="37000"/>
    <x v="1"/>
    <x v="1"/>
    <n v="6000"/>
    <n v="73000"/>
    <x v="1"/>
    <n v="13000"/>
  </r>
  <r>
    <d v="2024-03-03T00:00:00"/>
    <x v="2"/>
    <x v="6"/>
    <x v="1"/>
    <s v="No"/>
    <x v="0"/>
    <x v="0"/>
    <x v="2"/>
    <x v="2"/>
    <n v="49000"/>
    <n v="41000"/>
    <x v="2"/>
    <x v="2"/>
    <n v="7000"/>
    <n v="76000"/>
    <x v="2"/>
    <n v="9000"/>
  </r>
  <r>
    <d v="2024-03-04T00:00:00"/>
    <x v="2"/>
    <x v="0"/>
    <x v="1"/>
    <s v="No"/>
    <x v="0"/>
    <x v="0"/>
    <x v="0"/>
    <x v="0"/>
    <n v="45000"/>
    <n v="35000"/>
    <x v="0"/>
    <x v="0"/>
    <n v="5000"/>
    <n v="65000"/>
    <x v="0"/>
    <n v="20000"/>
  </r>
  <r>
    <d v="2024-03-05T00:00:00"/>
    <x v="2"/>
    <x v="1"/>
    <x v="1"/>
    <s v="No"/>
    <x v="1"/>
    <x v="1"/>
    <x v="1"/>
    <x v="1"/>
    <n v="48000"/>
    <n v="37000"/>
    <x v="1"/>
    <x v="1"/>
    <n v="6000"/>
    <n v="73000"/>
    <x v="1"/>
    <n v="13000"/>
  </r>
  <r>
    <d v="2024-03-06T00:00:00"/>
    <x v="2"/>
    <x v="2"/>
    <x v="1"/>
    <s v="No"/>
    <x v="0"/>
    <x v="0"/>
    <x v="2"/>
    <x v="2"/>
    <n v="49000"/>
    <n v="41000"/>
    <x v="2"/>
    <x v="2"/>
    <n v="7000"/>
    <n v="76000"/>
    <x v="2"/>
    <n v="9000"/>
  </r>
  <r>
    <d v="2024-03-07T00:00:00"/>
    <x v="2"/>
    <x v="3"/>
    <x v="1"/>
    <s v="No"/>
    <x v="0"/>
    <x v="0"/>
    <x v="0"/>
    <x v="0"/>
    <n v="45000"/>
    <n v="35000"/>
    <x v="0"/>
    <x v="0"/>
    <n v="5000"/>
    <n v="65000"/>
    <x v="0"/>
    <n v="20000"/>
  </r>
  <r>
    <d v="2024-03-08T00:00:00"/>
    <x v="2"/>
    <x v="4"/>
    <x v="1"/>
    <s v="Yes"/>
    <x v="1"/>
    <x v="1"/>
    <x v="1"/>
    <x v="1"/>
    <n v="48000"/>
    <n v="37000"/>
    <x v="1"/>
    <x v="1"/>
    <n v="6000"/>
    <n v="73000"/>
    <x v="1"/>
    <n v="13000"/>
  </r>
  <r>
    <d v="2024-03-09T00:00:00"/>
    <x v="2"/>
    <x v="5"/>
    <x v="1"/>
    <s v="No"/>
    <x v="0"/>
    <x v="0"/>
    <x v="2"/>
    <x v="2"/>
    <n v="49000"/>
    <n v="41000"/>
    <x v="2"/>
    <x v="2"/>
    <n v="7000"/>
    <n v="76000"/>
    <x v="2"/>
    <n v="9000"/>
  </r>
  <r>
    <d v="2024-03-10T00:00:00"/>
    <x v="2"/>
    <x v="6"/>
    <x v="1"/>
    <s v="No"/>
    <x v="0"/>
    <x v="0"/>
    <x v="0"/>
    <x v="0"/>
    <n v="45000"/>
    <n v="35000"/>
    <x v="0"/>
    <x v="0"/>
    <n v="5000"/>
    <n v="65000"/>
    <x v="0"/>
    <n v="20000"/>
  </r>
  <r>
    <d v="2024-03-11T00:00:00"/>
    <x v="2"/>
    <x v="0"/>
    <x v="1"/>
    <s v="No"/>
    <x v="1"/>
    <x v="1"/>
    <x v="1"/>
    <x v="1"/>
    <n v="48000"/>
    <n v="37000"/>
    <x v="1"/>
    <x v="1"/>
    <n v="6000"/>
    <n v="73000"/>
    <x v="1"/>
    <n v="13000"/>
  </r>
  <r>
    <d v="2024-03-12T00:00:00"/>
    <x v="2"/>
    <x v="1"/>
    <x v="1"/>
    <s v="No"/>
    <x v="0"/>
    <x v="0"/>
    <x v="2"/>
    <x v="2"/>
    <n v="49000"/>
    <n v="41000"/>
    <x v="2"/>
    <x v="2"/>
    <n v="7000"/>
    <n v="76000"/>
    <x v="2"/>
    <n v="9000"/>
  </r>
  <r>
    <d v="2024-03-13T00:00:00"/>
    <x v="2"/>
    <x v="2"/>
    <x v="1"/>
    <s v="No"/>
    <x v="0"/>
    <x v="0"/>
    <x v="0"/>
    <x v="0"/>
    <n v="45000"/>
    <n v="35000"/>
    <x v="0"/>
    <x v="0"/>
    <n v="5000"/>
    <n v="65000"/>
    <x v="0"/>
    <n v="20000"/>
  </r>
  <r>
    <d v="2024-03-14T00:00:00"/>
    <x v="2"/>
    <x v="3"/>
    <x v="1"/>
    <s v="No"/>
    <x v="1"/>
    <x v="1"/>
    <x v="1"/>
    <x v="1"/>
    <n v="48000"/>
    <n v="37000"/>
    <x v="1"/>
    <x v="1"/>
    <n v="6000"/>
    <n v="73000"/>
    <x v="1"/>
    <n v="13000"/>
  </r>
  <r>
    <d v="2024-03-15T00:00:00"/>
    <x v="2"/>
    <x v="4"/>
    <x v="1"/>
    <s v="Yes"/>
    <x v="0"/>
    <x v="0"/>
    <x v="2"/>
    <x v="2"/>
    <n v="49000"/>
    <n v="41000"/>
    <x v="2"/>
    <x v="2"/>
    <n v="7000"/>
    <n v="76000"/>
    <x v="2"/>
    <n v="9000"/>
  </r>
  <r>
    <d v="2024-03-16T00:00:00"/>
    <x v="2"/>
    <x v="5"/>
    <x v="1"/>
    <s v="No"/>
    <x v="0"/>
    <x v="0"/>
    <x v="0"/>
    <x v="0"/>
    <n v="45000"/>
    <n v="35000"/>
    <x v="0"/>
    <x v="0"/>
    <n v="5000"/>
    <n v="65000"/>
    <x v="0"/>
    <n v="20000"/>
  </r>
  <r>
    <d v="2024-03-17T00:00:00"/>
    <x v="2"/>
    <x v="6"/>
    <x v="1"/>
    <s v="No"/>
    <x v="1"/>
    <x v="1"/>
    <x v="1"/>
    <x v="1"/>
    <n v="48000"/>
    <n v="37000"/>
    <x v="1"/>
    <x v="1"/>
    <n v="6000"/>
    <n v="73000"/>
    <x v="1"/>
    <n v="13000"/>
  </r>
  <r>
    <d v="2024-03-18T00:00:00"/>
    <x v="2"/>
    <x v="0"/>
    <x v="1"/>
    <s v="No"/>
    <x v="0"/>
    <x v="0"/>
    <x v="2"/>
    <x v="2"/>
    <n v="49000"/>
    <n v="41000"/>
    <x v="2"/>
    <x v="2"/>
    <n v="7000"/>
    <n v="76000"/>
    <x v="2"/>
    <n v="9000"/>
  </r>
  <r>
    <d v="2024-03-19T00:00:00"/>
    <x v="2"/>
    <x v="1"/>
    <x v="1"/>
    <s v="No"/>
    <x v="0"/>
    <x v="0"/>
    <x v="0"/>
    <x v="0"/>
    <n v="45000"/>
    <n v="35000"/>
    <x v="0"/>
    <x v="0"/>
    <n v="5000"/>
    <n v="65000"/>
    <x v="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DC243-2A73-4AE4-BCE1-2E807A6AA4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G39" firstHeaderRow="0" firstDataRow="1" firstDataCol="1"/>
  <pivotFields count="18">
    <pivotField numFmtId="14" showAll="0"/>
    <pivotField axis="axisRow" showAll="0">
      <items count="4">
        <item x="0"/>
        <item x="1"/>
        <item x="2"/>
        <item t="default"/>
      </items>
    </pivotField>
    <pivotField axis="axisRow" showAll="0">
      <items count="8">
        <item x="0"/>
        <item x="1"/>
        <item x="2"/>
        <item x="3"/>
        <item x="4"/>
        <item x="5"/>
        <item x="6"/>
        <item t="default"/>
      </items>
    </pivotField>
    <pivotField showAll="0">
      <items count="3">
        <item x="1"/>
        <item x="0"/>
        <item t="default"/>
      </items>
    </pivotField>
    <pivotField showAll="0"/>
    <pivotField showAll="0">
      <items count="3">
        <item x="0"/>
        <item x="1"/>
        <item t="default"/>
      </items>
    </pivotField>
    <pivotField showAll="0">
      <items count="3">
        <item x="1"/>
        <item x="0"/>
        <item t="default"/>
      </items>
    </pivotField>
    <pivotField showAll="0">
      <items count="7">
        <item x="3"/>
        <item x="2"/>
        <item x="4"/>
        <item x="5"/>
        <item x="1"/>
        <item x="0"/>
        <item t="default"/>
      </items>
    </pivotField>
    <pivotField numFmtId="164" showAll="0"/>
    <pivotField numFmtId="164" showAll="0"/>
    <pivotField numFmtId="164" showAll="0"/>
    <pivotField dataField="1" numFmtId="164" showAll="0">
      <items count="6">
        <item x="0"/>
        <item x="3"/>
        <item x="1"/>
        <item x="4"/>
        <item x="2"/>
        <item t="default"/>
      </items>
    </pivotField>
    <pivotField dataField="1" numFmtId="164" showAll="0"/>
    <pivotField numFmtId="164" showAll="0"/>
    <pivotField numFmtId="164" showAll="0"/>
    <pivotField numFmtId="164" showAll="0"/>
    <pivotField numFmtId="164" showAll="0"/>
    <pivotField dragToRow="0" dragToCol="0" dragToPage="0" showAll="0" defaultSubtotal="0"/>
  </pivotFields>
  <rowFields count="2">
    <field x="1"/>
    <field x="2"/>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dataFields count="2">
    <dataField name="Sum of Marketing_Spend" fld="11" baseField="0" baseItem="0" numFmtId="164"/>
    <dataField name="Sum of Operating_Expens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ABEAF-0022-4637-BA93-CCF749A7CB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8">
    <pivotField numFmtId="14" showAll="0"/>
    <pivotField axis="axisRow" showAll="0">
      <items count="4">
        <item x="0"/>
        <item h="1" x="1"/>
        <item h="1" x="2"/>
        <item t="default"/>
      </items>
    </pivotField>
    <pivotField axis="axisRow" showAll="0">
      <items count="8">
        <item x="0"/>
        <item x="1"/>
        <item x="2"/>
        <item x="3"/>
        <item x="4"/>
        <item x="5"/>
        <item x="6"/>
        <item t="default"/>
      </items>
    </pivotField>
    <pivotField showAll="0"/>
    <pivotField showAll="0"/>
    <pivotField showAll="0">
      <items count="3">
        <item x="0"/>
        <item x="1"/>
        <item t="default"/>
      </items>
    </pivotField>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ragToRow="0" dragToCol="0" dragToPage="0" showAll="0" defaultSubtotal="0"/>
  </pivotFields>
  <rowFields count="2">
    <field x="1"/>
    <field x="2"/>
  </rowFields>
  <rowItems count="9">
    <i>
      <x/>
    </i>
    <i r="1">
      <x/>
    </i>
    <i r="1">
      <x v="1"/>
    </i>
    <i r="1">
      <x v="2"/>
    </i>
    <i r="1">
      <x v="3"/>
    </i>
    <i r="1">
      <x v="4"/>
    </i>
    <i r="1">
      <x v="5"/>
    </i>
    <i r="1">
      <x v="6"/>
    </i>
    <i t="grand">
      <x/>
    </i>
  </rowItems>
  <colItems count="1">
    <i/>
  </colItems>
  <dataFields count="1">
    <dataField name="Total_Revenue" fld="8" baseField="1"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E4686C-4DD3-4B10-B3A0-7C2A9686536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4:J8" firstHeaderRow="1" firstDataRow="1" firstDataCol="1"/>
  <pivotFields count="18">
    <pivotField numFmtId="14" showAll="0"/>
    <pivotField axis="axisRow" showAll="0">
      <items count="4">
        <item x="0"/>
        <item x="1"/>
        <item x="2"/>
        <item t="default"/>
      </items>
    </pivotField>
    <pivotField showAll="0">
      <items count="8">
        <item x="0"/>
        <item x="1"/>
        <item x="2"/>
        <item x="3"/>
        <item x="4"/>
        <item x="5"/>
        <item x="6"/>
        <item t="default"/>
      </items>
    </pivotField>
    <pivotField showAll="0"/>
    <pivotField showAll="0"/>
    <pivotField showAll="0">
      <items count="3">
        <item x="0"/>
        <item x="1"/>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dragToRow="0" dragToCol="0" dragToPage="0" showAll="0" defaultSubtotal="0"/>
  </pivotFields>
  <rowFields count="1">
    <field x="1"/>
  </rowFields>
  <rowItems count="4">
    <i>
      <x/>
    </i>
    <i>
      <x v="1"/>
    </i>
    <i>
      <x v="2"/>
    </i>
    <i t="grand">
      <x/>
    </i>
  </rowItems>
  <colItems count="1">
    <i/>
  </colItems>
  <dataFields count="1">
    <dataField name="Sum of Profit" fld="16"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A76C5-C940-41F1-96E5-025B5ACB29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G10" firstHeaderRow="0" firstDataRow="1" firstDataCol="1"/>
  <pivotFields count="18">
    <pivotField numFmtId="14" showAll="0"/>
    <pivotField showAll="0">
      <items count="4">
        <item x="0"/>
        <item x="1"/>
        <item x="2"/>
        <item t="default"/>
      </items>
    </pivotField>
    <pivotField showAll="0">
      <items count="8">
        <item x="0"/>
        <item x="1"/>
        <item x="2"/>
        <item x="3"/>
        <item x="4"/>
        <item x="5"/>
        <item x="6"/>
        <item t="default"/>
      </items>
    </pivotField>
    <pivotField showAll="0"/>
    <pivotField showAll="0"/>
    <pivotField showAll="0">
      <items count="3">
        <item x="0"/>
        <item x="1"/>
        <item t="default"/>
      </items>
    </pivotField>
    <pivotField showAll="0">
      <items count="3">
        <item x="1"/>
        <item x="0"/>
        <item t="default"/>
      </items>
    </pivotField>
    <pivotField axis="axisRow" showAll="0">
      <items count="7">
        <item x="3"/>
        <item x="2"/>
        <item x="4"/>
        <item x="5"/>
        <item x="1"/>
        <item x="0"/>
        <item t="default"/>
      </items>
    </pivotField>
    <pivotField numFmtId="164" showAll="0"/>
    <pivotField dataField="1" numFmtId="164" showAll="0"/>
    <pivotField dataField="1" numFmtId="164" showAll="0"/>
    <pivotField numFmtId="164" showAll="0"/>
    <pivotField numFmtId="164" showAll="0"/>
    <pivotField numFmtId="164" showAll="0"/>
    <pivotField numFmtId="164" showAll="0"/>
    <pivotField numFmtId="164" showAll="0"/>
    <pivotField numFmtId="164" showAll="0"/>
    <pivotField dragToRow="0" dragToCol="0" dragToPage="0" showAll="0" defaultSubtotal="0"/>
  </pivotFields>
  <rowFields count="1">
    <field x="7"/>
  </rowFields>
  <rowItems count="7">
    <i>
      <x/>
    </i>
    <i>
      <x v="1"/>
    </i>
    <i>
      <x v="2"/>
    </i>
    <i>
      <x v="3"/>
    </i>
    <i>
      <x v="4"/>
    </i>
    <i>
      <x v="5"/>
    </i>
    <i t="grand">
      <x/>
    </i>
  </rowItems>
  <colFields count="1">
    <field x="-2"/>
  </colFields>
  <colItems count="2">
    <i>
      <x/>
    </i>
    <i i="1">
      <x v="1"/>
    </i>
  </colItems>
  <dataFields count="2">
    <dataField name="Sum of Room_Revenue" fld="9" baseField="0" baseItem="0" numFmtId="164"/>
    <dataField name="Sum of Food_&amp;_Baverage_Revenue" fld="10"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C8E7B-357C-48CE-B947-AF5086F8B5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B35" firstHeaderRow="1" firstDataRow="1" firstDataCol="1"/>
  <pivotFields count="18">
    <pivotField numFmtId="14" showAll="0"/>
    <pivotField axis="axisRow" showAll="0">
      <items count="4">
        <item h="1" x="0"/>
        <item h="1" x="1"/>
        <item x="2"/>
        <item t="default"/>
      </items>
    </pivotField>
    <pivotField axis="axisRow" showAll="0">
      <items count="8">
        <item x="0"/>
        <item x="1"/>
        <item x="2"/>
        <item x="3"/>
        <item x="4"/>
        <item x="5"/>
        <item x="6"/>
        <item t="default"/>
      </items>
    </pivotField>
    <pivotField showAll="0">
      <items count="3">
        <item x="1"/>
        <item x="0"/>
        <item t="default"/>
      </items>
    </pivotField>
    <pivotField showAll="0"/>
    <pivotField showAll="0">
      <items count="3">
        <item x="0"/>
        <item x="1"/>
        <item t="default"/>
      </items>
    </pivotField>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ragToRow="0" dragToCol="0" dragToPage="0" showAll="0" defaultSubtotal="0"/>
  </pivotFields>
  <rowFields count="2">
    <field x="1"/>
    <field x="2"/>
  </rowFields>
  <rowItems count="9">
    <i>
      <x v="2"/>
    </i>
    <i r="1">
      <x/>
    </i>
    <i r="1">
      <x v="1"/>
    </i>
    <i r="1">
      <x v="2"/>
    </i>
    <i r="1">
      <x v="3"/>
    </i>
    <i r="1">
      <x v="4"/>
    </i>
    <i r="1">
      <x v="5"/>
    </i>
    <i r="1">
      <x v="6"/>
    </i>
    <i t="grand">
      <x/>
    </i>
  </rowItems>
  <colItems count="1">
    <i/>
  </colItems>
  <dataFields count="1">
    <dataField name="Total_Revenue" fld="8" baseField="1"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98F295-DC55-4C1C-A22A-5F919744F5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D43" firstHeaderRow="0" firstDataRow="1" firstDataCol="0"/>
  <pivotFields count="18">
    <pivotField numFmtId="14" showAll="0"/>
    <pivotField showAll="0">
      <items count="4">
        <item x="0"/>
        <item x="1"/>
        <item x="2"/>
        <item t="default"/>
      </items>
    </pivotField>
    <pivotField showAll="0">
      <items count="8">
        <item x="0"/>
        <item x="1"/>
        <item x="2"/>
        <item x="3"/>
        <item x="4"/>
        <item x="5"/>
        <item x="6"/>
        <item t="default"/>
      </items>
    </pivotField>
    <pivotField showAll="0">
      <items count="3">
        <item x="1"/>
        <item x="0"/>
        <item t="default"/>
      </items>
    </pivotField>
    <pivotField showAll="0"/>
    <pivotField showAll="0">
      <items count="3">
        <item x="0"/>
        <item x="1"/>
        <item t="default"/>
      </items>
    </pivotField>
    <pivotField showAll="0">
      <items count="3">
        <item x="1"/>
        <item x="0"/>
        <item t="default"/>
      </items>
    </pivotField>
    <pivotField showAll="0">
      <items count="7">
        <item x="3"/>
        <item x="2"/>
        <item x="4"/>
        <item x="5"/>
        <item x="1"/>
        <item x="0"/>
        <item t="default"/>
      </items>
    </pivotField>
    <pivotField dataField="1" numFmtId="164" showAll="0">
      <items count="7">
        <item x="0"/>
        <item x="3"/>
        <item x="1"/>
        <item x="4"/>
        <item x="2"/>
        <item x="5"/>
        <item t="default"/>
      </items>
    </pivotField>
    <pivotField numFmtId="164" showAll="0"/>
    <pivotField numFmtId="164" showAll="0"/>
    <pivotField numFmtId="164" showAll="0">
      <items count="6">
        <item x="0"/>
        <item x="3"/>
        <item x="1"/>
        <item x="4"/>
        <item x="2"/>
        <item t="default"/>
      </items>
    </pivotField>
    <pivotField numFmtId="164" showAll="0">
      <items count="5">
        <item x="0"/>
        <item x="2"/>
        <item x="3"/>
        <item x="1"/>
        <item t="default"/>
      </items>
    </pivotField>
    <pivotField numFmtId="164" showAll="0"/>
    <pivotField numFmtId="164" showAll="0"/>
    <pivotField dataField="1" numFmtId="164" showAll="0">
      <items count="6">
        <item x="0"/>
        <item x="3"/>
        <item x="1"/>
        <item x="4"/>
        <item x="2"/>
        <item t="default"/>
      </items>
    </pivotField>
    <pivotField dataField="1" numFmtId="164" showAll="0"/>
    <pivotField dataField="1" dragToRow="0" dragToCol="0" dragToPage="0" showAll="0" defaultSubtotal="0"/>
  </pivotFields>
  <rowItems count="1">
    <i/>
  </rowItems>
  <colFields count="1">
    <field x="-2"/>
  </colFields>
  <colItems count="4">
    <i>
      <x/>
    </i>
    <i i="1">
      <x v="1"/>
    </i>
    <i i="2">
      <x v="2"/>
    </i>
    <i i="3">
      <x v="3"/>
    </i>
  </colItems>
  <dataFields count="4">
    <dataField name="Sum of Revenue" fld="8" baseField="0" baseItem="0" numFmtId="164"/>
    <dataField name="Sum of Total Expenses" fld="17" baseField="0" baseItem="0" numFmtId="164"/>
    <dataField name="Sum of Total_costs" fld="15" baseField="0" baseItem="0" numFmtId="164"/>
    <dataField name="Sum of Profi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828EFE-EF40-42F6-AB77-B4975097D4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3" firstHeaderRow="1" firstDataRow="1" firstDataCol="1"/>
  <pivotFields count="18">
    <pivotField numFmtId="14" showAll="0"/>
    <pivotField axis="axisRow" showAll="0">
      <items count="4">
        <item h="1" x="0"/>
        <item x="1"/>
        <item h="1" x="2"/>
        <item t="default"/>
      </items>
    </pivotField>
    <pivotField axis="axisRow" showAll="0">
      <items count="8">
        <item x="0"/>
        <item x="1"/>
        <item x="2"/>
        <item x="3"/>
        <item x="4"/>
        <item x="5"/>
        <item x="6"/>
        <item t="default"/>
      </items>
    </pivotField>
    <pivotField showAll="0"/>
    <pivotField showAll="0"/>
    <pivotField showAll="0">
      <items count="3">
        <item x="0"/>
        <item x="1"/>
        <item t="default"/>
      </items>
    </pivotField>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ragToRow="0" dragToCol="0" dragToPage="0" showAll="0" defaultSubtotal="0"/>
  </pivotFields>
  <rowFields count="2">
    <field x="1"/>
    <field x="2"/>
  </rowFields>
  <rowItems count="9">
    <i>
      <x v="1"/>
    </i>
    <i r="1">
      <x/>
    </i>
    <i r="1">
      <x v="1"/>
    </i>
    <i r="1">
      <x v="2"/>
    </i>
    <i r="1">
      <x v="3"/>
    </i>
    <i r="1">
      <x v="4"/>
    </i>
    <i r="1">
      <x v="5"/>
    </i>
    <i r="1">
      <x v="6"/>
    </i>
    <i t="grand">
      <x/>
    </i>
  </rowItems>
  <colItems count="1">
    <i/>
  </colItems>
  <dataFields count="1">
    <dataField name="Total_Revenue" fld="8" baseField="1"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Channel" xr10:uid="{23297000-73B7-4545-9A61-0C61815DEA09}" sourceName="Booking_Channel">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14483010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Channel" xr10:uid="{1517AEAA-CEE6-4AD1-A88F-EAA23F05C73F}" cache="Slicer_Booking_Channel" caption="Booking_Channel"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1688A-5723-4258-9022-9D976F545097}" name="Table1" displayName="Table1" ref="A1:Q80" totalsRowShown="0" headerRowDxfId="20" headerRowBorderDxfId="19" tableBorderDxfId="18" totalsRowBorderDxfId="17">
  <autoFilter ref="A1:Q80" xr:uid="{CE91688A-5723-4258-9022-9D976F545097}"/>
  <tableColumns count="17">
    <tableColumn id="1" xr3:uid="{A364A72E-899C-4820-BB98-32DF9187342C}" name="Date" dataDxfId="16"/>
    <tableColumn id="2" xr3:uid="{383341BA-AF76-4318-B87E-F281A9F01159}" name="Month" dataDxfId="15"/>
    <tableColumn id="3" xr3:uid="{34E6B23F-27FF-4B45-AAD5-FC5F7A5EF6AA}" name="Weekday" dataDxfId="14"/>
    <tableColumn id="4" xr3:uid="{BEB8CBF8-7AE0-4D57-A28B-EDF178FA8832}" name="Season" dataDxfId="13"/>
    <tableColumn id="5" xr3:uid="{EFEC51A7-ED6F-446B-9F5A-18EF5AA7B7B3}" name="Holiday" dataDxfId="12"/>
    <tableColumn id="6" xr3:uid="{81883B5A-9C30-4305-A841-9FF0041AFB99}" name="Booking_Channel" dataDxfId="11"/>
    <tableColumn id="7" xr3:uid="{54115667-FB5F-4778-9189-F89CB4CE4E86}" name="Guest_Type" dataDxfId="10"/>
    <tableColumn id="8" xr3:uid="{F593C0C0-A9E5-4E65-BADB-398E727F2D4E}" name="Guest_Country" dataDxfId="9"/>
    <tableColumn id="9" xr3:uid="{BE2375D4-9672-4D36-ADD0-2298B4F952DB}" name="Revenue" dataDxfId="8" dataCellStyle="Comma"/>
    <tableColumn id="10" xr3:uid="{B30E71EB-A123-44C0-8BFB-073B2B97B773}" name="Room_Revenue" dataDxfId="7" dataCellStyle="Comma"/>
    <tableColumn id="11" xr3:uid="{AE29FCFF-EE7E-444F-8F13-051AB9469DF6}" name="Food_&amp;_Baverage_Revenue" dataDxfId="6" dataCellStyle="Comma"/>
    <tableColumn id="12" xr3:uid="{A6889BE5-6CBB-4FB9-8F4F-49CF7C745B39}" name="Marketing_Spend" dataDxfId="5" dataCellStyle="Comma"/>
    <tableColumn id="13" xr3:uid="{01C775EE-C5FA-4F1D-806D-3D1C0BE5AAB5}" name="Operating_Expenses" dataDxfId="4" dataCellStyle="Comma"/>
    <tableColumn id="14" xr3:uid="{C239332B-4E03-4526-A0B1-D712BF0F4AD9}" name="Fixed_Costs" dataDxfId="3" dataCellStyle="Comma"/>
    <tableColumn id="15" xr3:uid="{93825BB5-89AC-49CC-98F9-0980F7953EB8}" name="Variable_Costs" dataDxfId="2" dataCellStyle="Comma"/>
    <tableColumn id="16" xr3:uid="{782C4605-9160-45C7-8FB9-C8A42C7A955A}" name="Total_costs" dataDxfId="1" dataCellStyle="Comma"/>
    <tableColumn id="17" xr3:uid="{37E6A685-066B-4241-B601-9D62A8C3530E}" name="Profit" dataDxfId="0" dataCellStyle="Comma"/>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E5DB-7B05-4E74-BF4A-E58F9FC4022B}">
  <dimension ref="A1:S80"/>
  <sheetViews>
    <sheetView zoomScale="35" workbookViewId="0">
      <selection activeCell="A67" sqref="A67"/>
    </sheetView>
  </sheetViews>
  <sheetFormatPr defaultRowHeight="15" x14ac:dyDescent="0.25"/>
  <cols>
    <col min="1" max="1" width="19.140625" customWidth="1"/>
    <col min="2" max="2" width="12.28515625" customWidth="1"/>
    <col min="3" max="3" width="11.5703125" bestFit="1" customWidth="1"/>
    <col min="4" max="4" width="17.5703125" customWidth="1"/>
    <col min="5" max="5" width="10.140625" bestFit="1" customWidth="1"/>
    <col min="6" max="6" width="26.28515625" customWidth="1"/>
    <col min="7" max="7" width="13.85546875" bestFit="1" customWidth="1"/>
    <col min="8" max="8" width="17" bestFit="1" customWidth="1"/>
    <col min="9" max="9" width="18" style="13" customWidth="1"/>
    <col min="10" max="10" width="17.85546875" style="13" bestFit="1" customWidth="1"/>
    <col min="11" max="11" width="28.5703125" style="13" bestFit="1" customWidth="1"/>
    <col min="12" max="12" width="19.140625" style="13" bestFit="1" customWidth="1"/>
    <col min="13" max="13" width="22.28515625" style="13" bestFit="1" customWidth="1"/>
    <col min="14" max="14" width="14.5703125" style="13" bestFit="1" customWidth="1"/>
    <col min="15" max="15" width="17.140625" style="13" bestFit="1" customWidth="1"/>
    <col min="16" max="16" width="13.7109375" style="13" bestFit="1" customWidth="1"/>
    <col min="17" max="17" width="12.85546875" style="13" bestFit="1" customWidth="1"/>
    <col min="19" max="19" width="11.28515625" bestFit="1" customWidth="1"/>
  </cols>
  <sheetData>
    <row r="1" spans="1:19" x14ac:dyDescent="0.25">
      <c r="A1" s="3" t="s">
        <v>0</v>
      </c>
      <c r="B1" s="4" t="s">
        <v>1</v>
      </c>
      <c r="C1" s="4" t="s">
        <v>2</v>
      </c>
      <c r="D1" s="4" t="s">
        <v>3</v>
      </c>
      <c r="E1" s="4" t="s">
        <v>4</v>
      </c>
      <c r="F1" s="4" t="s">
        <v>5</v>
      </c>
      <c r="G1" s="4" t="s">
        <v>6</v>
      </c>
      <c r="H1" s="4" t="s">
        <v>7</v>
      </c>
      <c r="I1" s="7" t="s">
        <v>8</v>
      </c>
      <c r="J1" s="7" t="s">
        <v>9</v>
      </c>
      <c r="K1" s="7" t="s">
        <v>10</v>
      </c>
      <c r="L1" s="7" t="s">
        <v>11</v>
      </c>
      <c r="M1" s="7" t="s">
        <v>12</v>
      </c>
      <c r="N1" s="7" t="s">
        <v>13</v>
      </c>
      <c r="O1" s="7" t="s">
        <v>14</v>
      </c>
      <c r="P1" s="7" t="s">
        <v>15</v>
      </c>
      <c r="Q1" s="8" t="s">
        <v>16</v>
      </c>
    </row>
    <row r="2" spans="1:19" x14ac:dyDescent="0.25">
      <c r="A2" s="2">
        <v>45292</v>
      </c>
      <c r="B2" s="1" t="s">
        <v>17</v>
      </c>
      <c r="C2" s="1">
        <v>1</v>
      </c>
      <c r="D2" s="1" t="s">
        <v>18</v>
      </c>
      <c r="E2" s="1" t="s">
        <v>19</v>
      </c>
      <c r="F2" s="1" t="s">
        <v>20</v>
      </c>
      <c r="G2" s="1" t="s">
        <v>21</v>
      </c>
      <c r="H2" s="1" t="s">
        <v>22</v>
      </c>
      <c r="I2" s="9">
        <v>80000</v>
      </c>
      <c r="J2" s="9">
        <v>45000</v>
      </c>
      <c r="K2" s="9">
        <v>35000</v>
      </c>
      <c r="L2" s="9">
        <v>50000</v>
      </c>
      <c r="M2" s="9">
        <v>10000</v>
      </c>
      <c r="N2" s="9">
        <v>5000</v>
      </c>
      <c r="O2" s="9">
        <v>65000</v>
      </c>
      <c r="P2" s="9">
        <v>70000</v>
      </c>
      <c r="Q2" s="10">
        <v>20000</v>
      </c>
      <c r="S2" s="14"/>
    </row>
    <row r="3" spans="1:19" x14ac:dyDescent="0.25">
      <c r="A3" s="2">
        <v>45293</v>
      </c>
      <c r="B3" s="1" t="s">
        <v>17</v>
      </c>
      <c r="C3" s="1">
        <v>2</v>
      </c>
      <c r="D3" s="1" t="s">
        <v>18</v>
      </c>
      <c r="E3" s="1" t="s">
        <v>23</v>
      </c>
      <c r="F3" s="1" t="s">
        <v>24</v>
      </c>
      <c r="G3" s="1" t="s">
        <v>25</v>
      </c>
      <c r="H3" s="1" t="s">
        <v>26</v>
      </c>
      <c r="I3" s="9">
        <v>85000</v>
      </c>
      <c r="J3" s="9">
        <v>48000</v>
      </c>
      <c r="K3" s="9">
        <v>37000</v>
      </c>
      <c r="L3" s="9">
        <v>60000</v>
      </c>
      <c r="M3" s="9">
        <v>12000</v>
      </c>
      <c r="N3" s="9">
        <v>6000</v>
      </c>
      <c r="O3" s="9">
        <v>73000</v>
      </c>
      <c r="P3" s="9">
        <v>79000</v>
      </c>
      <c r="Q3" s="10">
        <v>13000</v>
      </c>
    </row>
    <row r="4" spans="1:19" x14ac:dyDescent="0.25">
      <c r="A4" s="2">
        <v>45294</v>
      </c>
      <c r="B4" s="1" t="s">
        <v>17</v>
      </c>
      <c r="C4" s="1">
        <v>3</v>
      </c>
      <c r="D4" s="1" t="s">
        <v>18</v>
      </c>
      <c r="E4" s="1" t="s">
        <v>23</v>
      </c>
      <c r="F4" s="1" t="s">
        <v>20</v>
      </c>
      <c r="G4" s="1" t="s">
        <v>21</v>
      </c>
      <c r="H4" s="1" t="s">
        <v>27</v>
      </c>
      <c r="I4" s="9">
        <v>90000</v>
      </c>
      <c r="J4" s="9">
        <v>49000</v>
      </c>
      <c r="K4" s="9">
        <v>41000</v>
      </c>
      <c r="L4" s="9">
        <v>70000</v>
      </c>
      <c r="M4" s="9">
        <v>11000</v>
      </c>
      <c r="N4" s="9">
        <v>7000</v>
      </c>
      <c r="O4" s="9">
        <v>76000</v>
      </c>
      <c r="P4" s="9">
        <v>83000</v>
      </c>
      <c r="Q4" s="10">
        <v>9000</v>
      </c>
    </row>
    <row r="5" spans="1:19" x14ac:dyDescent="0.25">
      <c r="A5" s="2">
        <v>45295</v>
      </c>
      <c r="B5" s="1" t="s">
        <v>17</v>
      </c>
      <c r="C5" s="1">
        <v>4</v>
      </c>
      <c r="D5" s="1" t="s">
        <v>18</v>
      </c>
      <c r="E5" s="1" t="s">
        <v>19</v>
      </c>
      <c r="F5" s="1" t="s">
        <v>20</v>
      </c>
      <c r="G5" s="1" t="s">
        <v>21</v>
      </c>
      <c r="H5" s="1" t="s">
        <v>22</v>
      </c>
      <c r="I5" s="9">
        <v>80000</v>
      </c>
      <c r="J5" s="9">
        <v>45000</v>
      </c>
      <c r="K5" s="9">
        <v>35000</v>
      </c>
      <c r="L5" s="9">
        <v>50000</v>
      </c>
      <c r="M5" s="9">
        <v>10000</v>
      </c>
      <c r="N5" s="9">
        <v>5000</v>
      </c>
      <c r="O5" s="9">
        <v>65000</v>
      </c>
      <c r="P5" s="9">
        <v>70000</v>
      </c>
      <c r="Q5" s="10">
        <v>20000</v>
      </c>
    </row>
    <row r="6" spans="1:19" x14ac:dyDescent="0.25">
      <c r="A6" s="2">
        <v>45296</v>
      </c>
      <c r="B6" s="1" t="s">
        <v>17</v>
      </c>
      <c r="C6" s="1">
        <v>5</v>
      </c>
      <c r="D6" s="1" t="s">
        <v>18</v>
      </c>
      <c r="E6" s="1" t="s">
        <v>23</v>
      </c>
      <c r="F6" s="1" t="s">
        <v>24</v>
      </c>
      <c r="G6" s="1" t="s">
        <v>25</v>
      </c>
      <c r="H6" s="1" t="s">
        <v>26</v>
      </c>
      <c r="I6" s="9">
        <v>85000</v>
      </c>
      <c r="J6" s="9">
        <v>48000</v>
      </c>
      <c r="K6" s="9">
        <v>37000</v>
      </c>
      <c r="L6" s="9">
        <v>60000</v>
      </c>
      <c r="M6" s="9">
        <v>12000</v>
      </c>
      <c r="N6" s="9">
        <v>6000</v>
      </c>
      <c r="O6" s="9">
        <v>73000</v>
      </c>
      <c r="P6" s="9">
        <v>79000</v>
      </c>
      <c r="Q6" s="10">
        <v>13000</v>
      </c>
    </row>
    <row r="7" spans="1:19" x14ac:dyDescent="0.25">
      <c r="A7" s="2">
        <v>45297</v>
      </c>
      <c r="B7" s="1" t="s">
        <v>17</v>
      </c>
      <c r="C7" s="1">
        <v>6</v>
      </c>
      <c r="D7" s="1" t="s">
        <v>18</v>
      </c>
      <c r="E7" s="1" t="s">
        <v>23</v>
      </c>
      <c r="F7" s="1" t="s">
        <v>20</v>
      </c>
      <c r="G7" s="1" t="s">
        <v>21</v>
      </c>
      <c r="H7" s="1" t="s">
        <v>27</v>
      </c>
      <c r="I7" s="9">
        <v>90000</v>
      </c>
      <c r="J7" s="9">
        <v>49000</v>
      </c>
      <c r="K7" s="9">
        <v>41000</v>
      </c>
      <c r="L7" s="9">
        <v>70000</v>
      </c>
      <c r="M7" s="9">
        <v>11000</v>
      </c>
      <c r="N7" s="9">
        <v>7000</v>
      </c>
      <c r="O7" s="9">
        <v>76000</v>
      </c>
      <c r="P7" s="9">
        <v>83000</v>
      </c>
      <c r="Q7" s="10">
        <v>9000</v>
      </c>
    </row>
    <row r="8" spans="1:19" x14ac:dyDescent="0.25">
      <c r="A8" s="2">
        <v>45298</v>
      </c>
      <c r="B8" s="1" t="s">
        <v>17</v>
      </c>
      <c r="C8" s="1">
        <v>7</v>
      </c>
      <c r="D8" s="1" t="s">
        <v>18</v>
      </c>
      <c r="E8" s="1" t="s">
        <v>23</v>
      </c>
      <c r="F8" s="1" t="s">
        <v>20</v>
      </c>
      <c r="G8" s="1" t="s">
        <v>21</v>
      </c>
      <c r="H8" s="1" t="s">
        <v>22</v>
      </c>
      <c r="I8" s="9">
        <v>80000</v>
      </c>
      <c r="J8" s="9">
        <v>45000</v>
      </c>
      <c r="K8" s="9">
        <v>35000</v>
      </c>
      <c r="L8" s="9">
        <v>50000</v>
      </c>
      <c r="M8" s="9">
        <v>10000</v>
      </c>
      <c r="N8" s="9">
        <v>5000</v>
      </c>
      <c r="O8" s="9">
        <v>65000</v>
      </c>
      <c r="P8" s="9">
        <v>70000</v>
      </c>
      <c r="Q8" s="10">
        <v>20000</v>
      </c>
    </row>
    <row r="9" spans="1:19" x14ac:dyDescent="0.25">
      <c r="A9" s="2">
        <v>45299</v>
      </c>
      <c r="B9" s="1" t="s">
        <v>17</v>
      </c>
      <c r="C9" s="1">
        <v>1</v>
      </c>
      <c r="D9" s="1" t="s">
        <v>18</v>
      </c>
      <c r="E9" s="1" t="s">
        <v>23</v>
      </c>
      <c r="F9" s="1" t="s">
        <v>24</v>
      </c>
      <c r="G9" s="1" t="s">
        <v>25</v>
      </c>
      <c r="H9" s="1" t="s">
        <v>26</v>
      </c>
      <c r="I9" s="9">
        <v>85000</v>
      </c>
      <c r="J9" s="9">
        <v>48000</v>
      </c>
      <c r="K9" s="9">
        <v>37000</v>
      </c>
      <c r="L9" s="9">
        <v>60000</v>
      </c>
      <c r="M9" s="9">
        <v>12000</v>
      </c>
      <c r="N9" s="9">
        <v>6000</v>
      </c>
      <c r="O9" s="9">
        <v>73000</v>
      </c>
      <c r="P9" s="9">
        <v>79000</v>
      </c>
      <c r="Q9" s="10">
        <v>13000</v>
      </c>
    </row>
    <row r="10" spans="1:19" x14ac:dyDescent="0.25">
      <c r="A10" s="2">
        <v>45300</v>
      </c>
      <c r="B10" s="1" t="s">
        <v>17</v>
      </c>
      <c r="C10" s="1">
        <v>2</v>
      </c>
      <c r="D10" s="1" t="s">
        <v>18</v>
      </c>
      <c r="E10" s="1" t="s">
        <v>23</v>
      </c>
      <c r="F10" s="1" t="s">
        <v>20</v>
      </c>
      <c r="G10" s="1" t="s">
        <v>21</v>
      </c>
      <c r="H10" s="1" t="s">
        <v>27</v>
      </c>
      <c r="I10" s="9">
        <v>90000</v>
      </c>
      <c r="J10" s="9">
        <v>49000</v>
      </c>
      <c r="K10" s="9">
        <v>41000</v>
      </c>
      <c r="L10" s="9">
        <v>70000</v>
      </c>
      <c r="M10" s="9">
        <v>11000</v>
      </c>
      <c r="N10" s="9">
        <v>7000</v>
      </c>
      <c r="O10" s="9">
        <v>76000</v>
      </c>
      <c r="P10" s="9">
        <v>83000</v>
      </c>
      <c r="Q10" s="10">
        <v>9000</v>
      </c>
    </row>
    <row r="11" spans="1:19" x14ac:dyDescent="0.25">
      <c r="A11" s="2">
        <v>45301</v>
      </c>
      <c r="B11" s="1" t="s">
        <v>17</v>
      </c>
      <c r="C11" s="1">
        <v>3</v>
      </c>
      <c r="D11" s="1" t="s">
        <v>18</v>
      </c>
      <c r="E11" s="1" t="s">
        <v>23</v>
      </c>
      <c r="F11" s="1" t="s">
        <v>20</v>
      </c>
      <c r="G11" s="1" t="s">
        <v>21</v>
      </c>
      <c r="H11" s="1" t="s">
        <v>22</v>
      </c>
      <c r="I11" s="9">
        <v>80000</v>
      </c>
      <c r="J11" s="9">
        <v>45000</v>
      </c>
      <c r="K11" s="9">
        <v>35000</v>
      </c>
      <c r="L11" s="9">
        <v>50000</v>
      </c>
      <c r="M11" s="9">
        <v>10000</v>
      </c>
      <c r="N11" s="9">
        <v>5000</v>
      </c>
      <c r="O11" s="9">
        <v>65000</v>
      </c>
      <c r="P11" s="9">
        <v>70000</v>
      </c>
      <c r="Q11" s="10">
        <v>20000</v>
      </c>
    </row>
    <row r="12" spans="1:19" x14ac:dyDescent="0.25">
      <c r="A12" s="2">
        <v>45302</v>
      </c>
      <c r="B12" s="1" t="s">
        <v>17</v>
      </c>
      <c r="C12" s="1">
        <v>4</v>
      </c>
      <c r="D12" s="1" t="s">
        <v>18</v>
      </c>
      <c r="E12" s="1" t="s">
        <v>19</v>
      </c>
      <c r="F12" s="1" t="s">
        <v>24</v>
      </c>
      <c r="G12" s="1" t="s">
        <v>25</v>
      </c>
      <c r="H12" s="1" t="s">
        <v>26</v>
      </c>
      <c r="I12" s="9">
        <v>85000</v>
      </c>
      <c r="J12" s="9">
        <v>48000</v>
      </c>
      <c r="K12" s="9">
        <v>37000</v>
      </c>
      <c r="L12" s="9">
        <v>60000</v>
      </c>
      <c r="M12" s="9">
        <v>12000</v>
      </c>
      <c r="N12" s="9">
        <v>6000</v>
      </c>
      <c r="O12" s="9">
        <v>73000</v>
      </c>
      <c r="P12" s="9">
        <v>79000</v>
      </c>
      <c r="Q12" s="10">
        <v>13000</v>
      </c>
    </row>
    <row r="13" spans="1:19" x14ac:dyDescent="0.25">
      <c r="A13" s="2">
        <v>45303</v>
      </c>
      <c r="B13" s="1" t="s">
        <v>17</v>
      </c>
      <c r="C13" s="1">
        <v>5</v>
      </c>
      <c r="D13" s="1" t="s">
        <v>18</v>
      </c>
      <c r="E13" s="1" t="s">
        <v>23</v>
      </c>
      <c r="F13" s="1" t="s">
        <v>20</v>
      </c>
      <c r="G13" s="1" t="s">
        <v>21</v>
      </c>
      <c r="H13" s="1" t="s">
        <v>27</v>
      </c>
      <c r="I13" s="9">
        <v>90000</v>
      </c>
      <c r="J13" s="9">
        <v>49000</v>
      </c>
      <c r="K13" s="9">
        <v>41000</v>
      </c>
      <c r="L13" s="9">
        <v>70000</v>
      </c>
      <c r="M13" s="9">
        <v>11000</v>
      </c>
      <c r="N13" s="9">
        <v>7000</v>
      </c>
      <c r="O13" s="9">
        <v>76000</v>
      </c>
      <c r="P13" s="9">
        <v>83000</v>
      </c>
      <c r="Q13" s="10">
        <v>9000</v>
      </c>
    </row>
    <row r="14" spans="1:19" x14ac:dyDescent="0.25">
      <c r="A14" s="2">
        <v>45304</v>
      </c>
      <c r="B14" s="1" t="s">
        <v>17</v>
      </c>
      <c r="C14" s="1">
        <v>6</v>
      </c>
      <c r="D14" s="1" t="s">
        <v>18</v>
      </c>
      <c r="E14" s="1" t="s">
        <v>23</v>
      </c>
      <c r="F14" s="1" t="s">
        <v>20</v>
      </c>
      <c r="G14" s="1" t="s">
        <v>21</v>
      </c>
      <c r="H14" s="1" t="s">
        <v>22</v>
      </c>
      <c r="I14" s="9">
        <v>80000</v>
      </c>
      <c r="J14" s="9">
        <v>45000</v>
      </c>
      <c r="K14" s="9">
        <v>35000</v>
      </c>
      <c r="L14" s="9">
        <v>50000</v>
      </c>
      <c r="M14" s="9">
        <v>10000</v>
      </c>
      <c r="N14" s="9">
        <v>5000</v>
      </c>
      <c r="O14" s="9">
        <v>65000</v>
      </c>
      <c r="P14" s="9">
        <v>70000</v>
      </c>
      <c r="Q14" s="10">
        <v>20000</v>
      </c>
    </row>
    <row r="15" spans="1:19" x14ac:dyDescent="0.25">
      <c r="A15" s="2">
        <v>45305</v>
      </c>
      <c r="B15" s="1" t="s">
        <v>17</v>
      </c>
      <c r="C15" s="1">
        <v>7</v>
      </c>
      <c r="D15" s="1" t="s">
        <v>18</v>
      </c>
      <c r="E15" s="1" t="s">
        <v>23</v>
      </c>
      <c r="F15" s="1" t="s">
        <v>24</v>
      </c>
      <c r="G15" s="1" t="s">
        <v>25</v>
      </c>
      <c r="H15" s="1" t="s">
        <v>26</v>
      </c>
      <c r="I15" s="9">
        <v>85000</v>
      </c>
      <c r="J15" s="9">
        <v>48000</v>
      </c>
      <c r="K15" s="9">
        <v>37000</v>
      </c>
      <c r="L15" s="9">
        <v>60000</v>
      </c>
      <c r="M15" s="9">
        <v>12000</v>
      </c>
      <c r="N15" s="9">
        <v>6000</v>
      </c>
      <c r="O15" s="9">
        <v>73000</v>
      </c>
      <c r="P15" s="9">
        <v>79000</v>
      </c>
      <c r="Q15" s="10">
        <v>13000</v>
      </c>
    </row>
    <row r="16" spans="1:19" x14ac:dyDescent="0.25">
      <c r="A16" s="2">
        <v>45306</v>
      </c>
      <c r="B16" s="1" t="s">
        <v>17</v>
      </c>
      <c r="C16" s="1">
        <v>1</v>
      </c>
      <c r="D16" s="1" t="s">
        <v>18</v>
      </c>
      <c r="E16" s="1" t="s">
        <v>23</v>
      </c>
      <c r="F16" s="1" t="s">
        <v>20</v>
      </c>
      <c r="G16" s="1" t="s">
        <v>21</v>
      </c>
      <c r="H16" s="1" t="s">
        <v>27</v>
      </c>
      <c r="I16" s="9">
        <v>90000</v>
      </c>
      <c r="J16" s="9">
        <v>49000</v>
      </c>
      <c r="K16" s="9">
        <v>41000</v>
      </c>
      <c r="L16" s="9">
        <v>70000</v>
      </c>
      <c r="M16" s="9">
        <v>11000</v>
      </c>
      <c r="N16" s="9">
        <v>7000</v>
      </c>
      <c r="O16" s="9">
        <v>76000</v>
      </c>
      <c r="P16" s="9">
        <v>83000</v>
      </c>
      <c r="Q16" s="10">
        <v>9000</v>
      </c>
    </row>
    <row r="17" spans="1:17" x14ac:dyDescent="0.25">
      <c r="A17" s="2">
        <v>45307</v>
      </c>
      <c r="B17" s="1" t="s">
        <v>17</v>
      </c>
      <c r="C17" s="1">
        <v>2</v>
      </c>
      <c r="D17" s="1" t="s">
        <v>18</v>
      </c>
      <c r="E17" s="1" t="s">
        <v>23</v>
      </c>
      <c r="F17" s="1" t="s">
        <v>20</v>
      </c>
      <c r="G17" s="1" t="s">
        <v>21</v>
      </c>
      <c r="H17" s="1" t="s">
        <v>22</v>
      </c>
      <c r="I17" s="9">
        <v>80000</v>
      </c>
      <c r="J17" s="9">
        <v>45000</v>
      </c>
      <c r="K17" s="9">
        <v>35000</v>
      </c>
      <c r="L17" s="9">
        <v>50000</v>
      </c>
      <c r="M17" s="9">
        <v>10000</v>
      </c>
      <c r="N17" s="9">
        <v>5000</v>
      </c>
      <c r="O17" s="9">
        <v>65000</v>
      </c>
      <c r="P17" s="9">
        <v>70000</v>
      </c>
      <c r="Q17" s="10">
        <v>20000</v>
      </c>
    </row>
    <row r="18" spans="1:17" x14ac:dyDescent="0.25">
      <c r="A18" s="2">
        <v>45308</v>
      </c>
      <c r="B18" s="1" t="s">
        <v>17</v>
      </c>
      <c r="C18" s="1">
        <v>3</v>
      </c>
      <c r="D18" s="1" t="s">
        <v>18</v>
      </c>
      <c r="E18" s="1" t="s">
        <v>23</v>
      </c>
      <c r="F18" s="1" t="s">
        <v>24</v>
      </c>
      <c r="G18" s="1" t="s">
        <v>25</v>
      </c>
      <c r="H18" s="1" t="s">
        <v>26</v>
      </c>
      <c r="I18" s="9">
        <v>85000</v>
      </c>
      <c r="J18" s="9">
        <v>48000</v>
      </c>
      <c r="K18" s="9">
        <v>37000</v>
      </c>
      <c r="L18" s="9">
        <v>60000</v>
      </c>
      <c r="M18" s="9">
        <v>12000</v>
      </c>
      <c r="N18" s="9">
        <v>6000</v>
      </c>
      <c r="O18" s="9">
        <v>73000</v>
      </c>
      <c r="P18" s="9">
        <v>79000</v>
      </c>
      <c r="Q18" s="10">
        <v>13000</v>
      </c>
    </row>
    <row r="19" spans="1:17" x14ac:dyDescent="0.25">
      <c r="A19" s="2">
        <v>45309</v>
      </c>
      <c r="B19" s="1" t="s">
        <v>17</v>
      </c>
      <c r="C19" s="1">
        <v>4</v>
      </c>
      <c r="D19" s="1" t="s">
        <v>18</v>
      </c>
      <c r="E19" s="1" t="s">
        <v>19</v>
      </c>
      <c r="F19" s="1" t="s">
        <v>20</v>
      </c>
      <c r="G19" s="1" t="s">
        <v>21</v>
      </c>
      <c r="H19" s="1" t="s">
        <v>27</v>
      </c>
      <c r="I19" s="9">
        <v>90000</v>
      </c>
      <c r="J19" s="9">
        <v>49000</v>
      </c>
      <c r="K19" s="9">
        <v>41000</v>
      </c>
      <c r="L19" s="9">
        <v>70000</v>
      </c>
      <c r="M19" s="9">
        <v>11000</v>
      </c>
      <c r="N19" s="9">
        <v>7000</v>
      </c>
      <c r="O19" s="9">
        <v>76000</v>
      </c>
      <c r="P19" s="9">
        <v>83000</v>
      </c>
      <c r="Q19" s="10">
        <v>9000</v>
      </c>
    </row>
    <row r="20" spans="1:17" x14ac:dyDescent="0.25">
      <c r="A20" s="2">
        <v>45310</v>
      </c>
      <c r="B20" s="1" t="s">
        <v>17</v>
      </c>
      <c r="C20" s="1">
        <v>5</v>
      </c>
      <c r="D20" s="1" t="s">
        <v>18</v>
      </c>
      <c r="E20" s="1" t="s">
        <v>23</v>
      </c>
      <c r="F20" s="1" t="s">
        <v>20</v>
      </c>
      <c r="G20" s="1" t="s">
        <v>21</v>
      </c>
      <c r="H20" s="1" t="s">
        <v>22</v>
      </c>
      <c r="I20" s="9">
        <v>80000</v>
      </c>
      <c r="J20" s="9">
        <v>45000</v>
      </c>
      <c r="K20" s="9">
        <v>35000</v>
      </c>
      <c r="L20" s="9">
        <v>50000</v>
      </c>
      <c r="M20" s="9">
        <v>10000</v>
      </c>
      <c r="N20" s="9">
        <v>5000</v>
      </c>
      <c r="O20" s="9">
        <v>65000</v>
      </c>
      <c r="P20" s="9">
        <v>70000</v>
      </c>
      <c r="Q20" s="10">
        <v>20000</v>
      </c>
    </row>
    <row r="21" spans="1:17" x14ac:dyDescent="0.25">
      <c r="A21" s="2">
        <v>45311</v>
      </c>
      <c r="B21" s="1" t="s">
        <v>17</v>
      </c>
      <c r="C21" s="1">
        <v>6</v>
      </c>
      <c r="D21" s="1" t="s">
        <v>18</v>
      </c>
      <c r="E21" s="1" t="s">
        <v>23</v>
      </c>
      <c r="F21" s="1" t="s">
        <v>24</v>
      </c>
      <c r="G21" s="1" t="s">
        <v>25</v>
      </c>
      <c r="H21" s="1" t="s">
        <v>26</v>
      </c>
      <c r="I21" s="9">
        <v>85000</v>
      </c>
      <c r="J21" s="9">
        <v>48000</v>
      </c>
      <c r="K21" s="9">
        <v>37000</v>
      </c>
      <c r="L21" s="9">
        <v>60000</v>
      </c>
      <c r="M21" s="9">
        <v>12000</v>
      </c>
      <c r="N21" s="9">
        <v>6000</v>
      </c>
      <c r="O21" s="9">
        <v>73000</v>
      </c>
      <c r="P21" s="9">
        <v>79000</v>
      </c>
      <c r="Q21" s="10">
        <v>13000</v>
      </c>
    </row>
    <row r="22" spans="1:17" x14ac:dyDescent="0.25">
      <c r="A22" s="2">
        <v>45312</v>
      </c>
      <c r="B22" s="1" t="s">
        <v>17</v>
      </c>
      <c r="C22" s="1">
        <v>7</v>
      </c>
      <c r="D22" s="1" t="s">
        <v>18</v>
      </c>
      <c r="E22" s="1" t="s">
        <v>23</v>
      </c>
      <c r="F22" s="1" t="s">
        <v>20</v>
      </c>
      <c r="G22" s="1" t="s">
        <v>21</v>
      </c>
      <c r="H22" s="1" t="s">
        <v>27</v>
      </c>
      <c r="I22" s="9">
        <v>90000</v>
      </c>
      <c r="J22" s="9">
        <v>49000</v>
      </c>
      <c r="K22" s="9">
        <v>41000</v>
      </c>
      <c r="L22" s="9">
        <v>70000</v>
      </c>
      <c r="M22" s="9">
        <v>11000</v>
      </c>
      <c r="N22" s="9">
        <v>7000</v>
      </c>
      <c r="O22" s="9">
        <v>76000</v>
      </c>
      <c r="P22" s="9">
        <v>83000</v>
      </c>
      <c r="Q22" s="10">
        <v>9000</v>
      </c>
    </row>
    <row r="23" spans="1:17" x14ac:dyDescent="0.25">
      <c r="A23" s="2">
        <v>45313</v>
      </c>
      <c r="B23" s="1" t="s">
        <v>17</v>
      </c>
      <c r="C23" s="1">
        <v>1</v>
      </c>
      <c r="D23" s="1" t="s">
        <v>18</v>
      </c>
      <c r="E23" s="1" t="s">
        <v>23</v>
      </c>
      <c r="F23" s="1" t="s">
        <v>20</v>
      </c>
      <c r="G23" s="1" t="s">
        <v>21</v>
      </c>
      <c r="H23" s="1" t="s">
        <v>22</v>
      </c>
      <c r="I23" s="9">
        <v>80000</v>
      </c>
      <c r="J23" s="9">
        <v>45000</v>
      </c>
      <c r="K23" s="9">
        <v>35000</v>
      </c>
      <c r="L23" s="9">
        <v>50000</v>
      </c>
      <c r="M23" s="9">
        <v>10000</v>
      </c>
      <c r="N23" s="9">
        <v>5000</v>
      </c>
      <c r="O23" s="9">
        <v>65000</v>
      </c>
      <c r="P23" s="9">
        <v>70000</v>
      </c>
      <c r="Q23" s="10">
        <v>20000</v>
      </c>
    </row>
    <row r="24" spans="1:17" x14ac:dyDescent="0.25">
      <c r="A24" s="2">
        <v>45314</v>
      </c>
      <c r="B24" s="1" t="s">
        <v>17</v>
      </c>
      <c r="C24" s="1">
        <v>2</v>
      </c>
      <c r="D24" s="1" t="s">
        <v>18</v>
      </c>
      <c r="E24" s="1" t="s">
        <v>23</v>
      </c>
      <c r="F24" s="1" t="s">
        <v>24</v>
      </c>
      <c r="G24" s="1" t="s">
        <v>25</v>
      </c>
      <c r="H24" s="1" t="s">
        <v>26</v>
      </c>
      <c r="I24" s="9">
        <v>85000</v>
      </c>
      <c r="J24" s="9">
        <v>48000</v>
      </c>
      <c r="K24" s="9">
        <v>37000</v>
      </c>
      <c r="L24" s="9">
        <v>60000</v>
      </c>
      <c r="M24" s="9">
        <v>12000</v>
      </c>
      <c r="N24" s="9">
        <v>6000</v>
      </c>
      <c r="O24" s="9">
        <v>73000</v>
      </c>
      <c r="P24" s="9">
        <v>79000</v>
      </c>
      <c r="Q24" s="10">
        <v>13000</v>
      </c>
    </row>
    <row r="25" spans="1:17" x14ac:dyDescent="0.25">
      <c r="A25" s="2">
        <v>45315</v>
      </c>
      <c r="B25" s="1" t="s">
        <v>17</v>
      </c>
      <c r="C25" s="1">
        <v>3</v>
      </c>
      <c r="D25" s="1" t="s">
        <v>18</v>
      </c>
      <c r="E25" s="1" t="s">
        <v>23</v>
      </c>
      <c r="F25" s="1" t="s">
        <v>20</v>
      </c>
      <c r="G25" s="1" t="s">
        <v>21</v>
      </c>
      <c r="H25" s="1" t="s">
        <v>27</v>
      </c>
      <c r="I25" s="9">
        <v>90000</v>
      </c>
      <c r="J25" s="9">
        <v>49000</v>
      </c>
      <c r="K25" s="9">
        <v>41000</v>
      </c>
      <c r="L25" s="9">
        <v>70000</v>
      </c>
      <c r="M25" s="9">
        <v>11000</v>
      </c>
      <c r="N25" s="9">
        <v>7000</v>
      </c>
      <c r="O25" s="9">
        <v>76000</v>
      </c>
      <c r="P25" s="9">
        <v>83000</v>
      </c>
      <c r="Q25" s="10">
        <v>9000</v>
      </c>
    </row>
    <row r="26" spans="1:17" x14ac:dyDescent="0.25">
      <c r="A26" s="2">
        <v>45316</v>
      </c>
      <c r="B26" s="1" t="s">
        <v>17</v>
      </c>
      <c r="C26" s="1">
        <v>4</v>
      </c>
      <c r="D26" s="1" t="s">
        <v>18</v>
      </c>
      <c r="E26" s="1" t="s">
        <v>19</v>
      </c>
      <c r="F26" s="1" t="s">
        <v>20</v>
      </c>
      <c r="G26" s="1" t="s">
        <v>21</v>
      </c>
      <c r="H26" s="1" t="s">
        <v>22</v>
      </c>
      <c r="I26" s="9">
        <v>80000</v>
      </c>
      <c r="J26" s="9">
        <v>45000</v>
      </c>
      <c r="K26" s="9">
        <v>35000</v>
      </c>
      <c r="L26" s="9">
        <v>50000</v>
      </c>
      <c r="M26" s="9">
        <v>10000</v>
      </c>
      <c r="N26" s="9">
        <v>5000</v>
      </c>
      <c r="O26" s="9">
        <v>65000</v>
      </c>
      <c r="P26" s="9">
        <v>70000</v>
      </c>
      <c r="Q26" s="10">
        <v>20000</v>
      </c>
    </row>
    <row r="27" spans="1:17" x14ac:dyDescent="0.25">
      <c r="A27" s="2">
        <v>45317</v>
      </c>
      <c r="B27" s="1" t="s">
        <v>17</v>
      </c>
      <c r="C27" s="1">
        <v>5</v>
      </c>
      <c r="D27" s="1" t="s">
        <v>18</v>
      </c>
      <c r="E27" s="1" t="s">
        <v>23</v>
      </c>
      <c r="F27" s="1" t="s">
        <v>24</v>
      </c>
      <c r="G27" s="1" t="s">
        <v>25</v>
      </c>
      <c r="H27" s="1" t="s">
        <v>26</v>
      </c>
      <c r="I27" s="9">
        <v>85000</v>
      </c>
      <c r="J27" s="9">
        <v>48000</v>
      </c>
      <c r="K27" s="9">
        <v>37000</v>
      </c>
      <c r="L27" s="9">
        <v>60000</v>
      </c>
      <c r="M27" s="9">
        <v>12000</v>
      </c>
      <c r="N27" s="9">
        <v>6000</v>
      </c>
      <c r="O27" s="9">
        <v>73000</v>
      </c>
      <c r="P27" s="9">
        <v>79000</v>
      </c>
      <c r="Q27" s="10">
        <v>13000</v>
      </c>
    </row>
    <row r="28" spans="1:17" x14ac:dyDescent="0.25">
      <c r="A28" s="2">
        <v>45318</v>
      </c>
      <c r="B28" s="1" t="s">
        <v>17</v>
      </c>
      <c r="C28" s="1">
        <v>6</v>
      </c>
      <c r="D28" s="1" t="s">
        <v>18</v>
      </c>
      <c r="E28" s="1" t="s">
        <v>23</v>
      </c>
      <c r="F28" s="1" t="s">
        <v>20</v>
      </c>
      <c r="G28" s="1" t="s">
        <v>21</v>
      </c>
      <c r="H28" s="1" t="s">
        <v>27</v>
      </c>
      <c r="I28" s="9">
        <v>90000</v>
      </c>
      <c r="J28" s="9">
        <v>49000</v>
      </c>
      <c r="K28" s="9">
        <v>41000</v>
      </c>
      <c r="L28" s="9">
        <v>70000</v>
      </c>
      <c r="M28" s="9">
        <v>11000</v>
      </c>
      <c r="N28" s="9">
        <v>7000</v>
      </c>
      <c r="O28" s="9">
        <v>76000</v>
      </c>
      <c r="P28" s="9">
        <v>83000</v>
      </c>
      <c r="Q28" s="10">
        <v>9000</v>
      </c>
    </row>
    <row r="29" spans="1:17" x14ac:dyDescent="0.25">
      <c r="A29" s="2">
        <v>45319</v>
      </c>
      <c r="B29" s="1" t="s">
        <v>17</v>
      </c>
      <c r="C29" s="1">
        <v>7</v>
      </c>
      <c r="D29" s="1" t="s">
        <v>18</v>
      </c>
      <c r="E29" s="1" t="s">
        <v>23</v>
      </c>
      <c r="F29" s="1" t="s">
        <v>20</v>
      </c>
      <c r="G29" s="1" t="s">
        <v>21</v>
      </c>
      <c r="H29" s="1" t="s">
        <v>22</v>
      </c>
      <c r="I29" s="9">
        <v>80000</v>
      </c>
      <c r="J29" s="9">
        <v>45000</v>
      </c>
      <c r="K29" s="9">
        <v>35000</v>
      </c>
      <c r="L29" s="9">
        <v>50000</v>
      </c>
      <c r="M29" s="9">
        <v>10000</v>
      </c>
      <c r="N29" s="9">
        <v>5000</v>
      </c>
      <c r="O29" s="9">
        <v>65000</v>
      </c>
      <c r="P29" s="9">
        <v>70000</v>
      </c>
      <c r="Q29" s="10">
        <v>20000</v>
      </c>
    </row>
    <row r="30" spans="1:17" x14ac:dyDescent="0.25">
      <c r="A30" s="2">
        <v>45320</v>
      </c>
      <c r="B30" s="1" t="s">
        <v>17</v>
      </c>
      <c r="C30" s="1">
        <v>1</v>
      </c>
      <c r="D30" s="1" t="s">
        <v>18</v>
      </c>
      <c r="E30" s="1" t="s">
        <v>23</v>
      </c>
      <c r="F30" s="1" t="s">
        <v>24</v>
      </c>
      <c r="G30" s="1" t="s">
        <v>25</v>
      </c>
      <c r="H30" s="1" t="s">
        <v>26</v>
      </c>
      <c r="I30" s="9">
        <v>85000</v>
      </c>
      <c r="J30" s="9">
        <v>48000</v>
      </c>
      <c r="K30" s="9">
        <v>37000</v>
      </c>
      <c r="L30" s="9">
        <v>60000</v>
      </c>
      <c r="M30" s="9">
        <v>12000</v>
      </c>
      <c r="N30" s="9">
        <v>6000</v>
      </c>
      <c r="O30" s="9">
        <v>73000</v>
      </c>
      <c r="P30" s="9">
        <v>79000</v>
      </c>
      <c r="Q30" s="10">
        <v>13000</v>
      </c>
    </row>
    <row r="31" spans="1:17" x14ac:dyDescent="0.25">
      <c r="A31" s="2">
        <v>45321</v>
      </c>
      <c r="B31" s="1" t="s">
        <v>17</v>
      </c>
      <c r="C31" s="1">
        <v>2</v>
      </c>
      <c r="D31" s="1" t="s">
        <v>18</v>
      </c>
      <c r="E31" s="1" t="s">
        <v>23</v>
      </c>
      <c r="F31" s="1" t="s">
        <v>20</v>
      </c>
      <c r="G31" s="1" t="s">
        <v>21</v>
      </c>
      <c r="H31" s="1" t="s">
        <v>27</v>
      </c>
      <c r="I31" s="9">
        <v>90000</v>
      </c>
      <c r="J31" s="9">
        <v>49000</v>
      </c>
      <c r="K31" s="9">
        <v>41000</v>
      </c>
      <c r="L31" s="9">
        <v>70000</v>
      </c>
      <c r="M31" s="9">
        <v>11000</v>
      </c>
      <c r="N31" s="9">
        <v>7000</v>
      </c>
      <c r="O31" s="9">
        <v>76000</v>
      </c>
      <c r="P31" s="9">
        <v>83000</v>
      </c>
      <c r="Q31" s="10">
        <v>9000</v>
      </c>
    </row>
    <row r="32" spans="1:17" x14ac:dyDescent="0.25">
      <c r="A32" s="2">
        <v>45322</v>
      </c>
      <c r="B32" s="1" t="s">
        <v>17</v>
      </c>
      <c r="C32" s="1">
        <v>3</v>
      </c>
      <c r="D32" s="1" t="s">
        <v>18</v>
      </c>
      <c r="E32" s="1" t="s">
        <v>23</v>
      </c>
      <c r="F32" s="1" t="s">
        <v>20</v>
      </c>
      <c r="G32" s="1" t="s">
        <v>21</v>
      </c>
      <c r="H32" s="1" t="s">
        <v>22</v>
      </c>
      <c r="I32" s="9">
        <v>80000</v>
      </c>
      <c r="J32" s="9">
        <v>45000</v>
      </c>
      <c r="K32" s="9">
        <v>35000</v>
      </c>
      <c r="L32" s="9">
        <v>50000</v>
      </c>
      <c r="M32" s="9">
        <v>10000</v>
      </c>
      <c r="N32" s="9">
        <v>5000</v>
      </c>
      <c r="O32" s="9">
        <v>65000</v>
      </c>
      <c r="P32" s="9">
        <v>70000</v>
      </c>
      <c r="Q32" s="10">
        <v>20000</v>
      </c>
    </row>
    <row r="33" spans="1:17" x14ac:dyDescent="0.25">
      <c r="A33" s="2">
        <v>45323</v>
      </c>
      <c r="B33" s="1" t="s">
        <v>28</v>
      </c>
      <c r="C33" s="1">
        <v>4</v>
      </c>
      <c r="D33" s="1" t="s">
        <v>18</v>
      </c>
      <c r="E33" s="1" t="s">
        <v>23</v>
      </c>
      <c r="F33" s="1" t="s">
        <v>24</v>
      </c>
      <c r="G33" s="1" t="s">
        <v>25</v>
      </c>
      <c r="H33" s="1" t="s">
        <v>29</v>
      </c>
      <c r="I33" s="9">
        <v>82000</v>
      </c>
      <c r="J33" s="9">
        <v>47000</v>
      </c>
      <c r="K33" s="9">
        <v>35000</v>
      </c>
      <c r="L33" s="9">
        <v>55000</v>
      </c>
      <c r="M33" s="9">
        <v>11000</v>
      </c>
      <c r="N33" s="9">
        <v>5000</v>
      </c>
      <c r="O33" s="9">
        <v>69000</v>
      </c>
      <c r="P33" s="9">
        <v>74000</v>
      </c>
      <c r="Q33" s="10">
        <v>16000</v>
      </c>
    </row>
    <row r="34" spans="1:17" x14ac:dyDescent="0.25">
      <c r="A34" s="2">
        <v>45324</v>
      </c>
      <c r="B34" s="1" t="s">
        <v>28</v>
      </c>
      <c r="C34" s="1">
        <v>5</v>
      </c>
      <c r="D34" s="1" t="s">
        <v>18</v>
      </c>
      <c r="E34" s="1" t="s">
        <v>19</v>
      </c>
      <c r="F34" s="1" t="s">
        <v>20</v>
      </c>
      <c r="G34" s="1" t="s">
        <v>21</v>
      </c>
      <c r="H34" s="1" t="s">
        <v>30</v>
      </c>
      <c r="I34" s="9">
        <v>88000</v>
      </c>
      <c r="J34" s="9">
        <v>49000</v>
      </c>
      <c r="K34" s="9">
        <v>39000</v>
      </c>
      <c r="L34" s="9">
        <v>65000</v>
      </c>
      <c r="M34" s="9">
        <v>12000</v>
      </c>
      <c r="N34" s="9">
        <v>6000</v>
      </c>
      <c r="O34" s="9">
        <v>73000</v>
      </c>
      <c r="P34" s="9">
        <v>79000</v>
      </c>
      <c r="Q34" s="10">
        <v>11000</v>
      </c>
    </row>
    <row r="35" spans="1:17" x14ac:dyDescent="0.25">
      <c r="A35" s="2">
        <v>45325</v>
      </c>
      <c r="B35" s="1" t="s">
        <v>28</v>
      </c>
      <c r="C35" s="1">
        <v>6</v>
      </c>
      <c r="D35" s="1" t="s">
        <v>18</v>
      </c>
      <c r="E35" s="1" t="s">
        <v>23</v>
      </c>
      <c r="F35" s="1" t="s">
        <v>24</v>
      </c>
      <c r="G35" s="1" t="s">
        <v>25</v>
      </c>
      <c r="H35" s="1" t="s">
        <v>31</v>
      </c>
      <c r="I35" s="9">
        <v>91000</v>
      </c>
      <c r="J35" s="9">
        <v>50000</v>
      </c>
      <c r="K35" s="9">
        <v>41000</v>
      </c>
      <c r="L35" s="9">
        <v>70000</v>
      </c>
      <c r="M35" s="9">
        <v>11500</v>
      </c>
      <c r="N35" s="9">
        <v>7000</v>
      </c>
      <c r="O35" s="9">
        <v>75500</v>
      </c>
      <c r="P35" s="9">
        <v>82500</v>
      </c>
      <c r="Q35" s="10">
        <v>9500</v>
      </c>
    </row>
    <row r="36" spans="1:17" x14ac:dyDescent="0.25">
      <c r="A36" s="2">
        <v>45326</v>
      </c>
      <c r="B36" s="1" t="s">
        <v>28</v>
      </c>
      <c r="C36" s="1">
        <v>7</v>
      </c>
      <c r="D36" s="1" t="s">
        <v>18</v>
      </c>
      <c r="E36" s="1" t="s">
        <v>23</v>
      </c>
      <c r="F36" s="1" t="s">
        <v>20</v>
      </c>
      <c r="G36" s="1" t="s">
        <v>21</v>
      </c>
      <c r="H36" s="1" t="s">
        <v>22</v>
      </c>
      <c r="I36" s="9">
        <v>80000</v>
      </c>
      <c r="J36" s="9">
        <v>45000</v>
      </c>
      <c r="K36" s="9">
        <v>35000</v>
      </c>
      <c r="L36" s="9">
        <v>50000</v>
      </c>
      <c r="M36" s="9">
        <v>10000</v>
      </c>
      <c r="N36" s="9">
        <v>5000</v>
      </c>
      <c r="O36" s="9">
        <v>65000</v>
      </c>
      <c r="P36" s="9">
        <v>70000</v>
      </c>
      <c r="Q36" s="10">
        <v>20000</v>
      </c>
    </row>
    <row r="37" spans="1:17" x14ac:dyDescent="0.25">
      <c r="A37" s="2">
        <v>45327</v>
      </c>
      <c r="B37" s="1" t="s">
        <v>28</v>
      </c>
      <c r="C37" s="1">
        <v>1</v>
      </c>
      <c r="D37" s="1" t="s">
        <v>18</v>
      </c>
      <c r="E37" s="1" t="s">
        <v>23</v>
      </c>
      <c r="F37" s="1" t="s">
        <v>24</v>
      </c>
      <c r="G37" s="1" t="s">
        <v>25</v>
      </c>
      <c r="H37" s="1" t="s">
        <v>29</v>
      </c>
      <c r="I37" s="9">
        <v>82000</v>
      </c>
      <c r="J37" s="9">
        <v>47000</v>
      </c>
      <c r="K37" s="9">
        <v>35000</v>
      </c>
      <c r="L37" s="9">
        <v>55000</v>
      </c>
      <c r="M37" s="9">
        <v>11000</v>
      </c>
      <c r="N37" s="9">
        <v>5000</v>
      </c>
      <c r="O37" s="9">
        <v>69000</v>
      </c>
      <c r="P37" s="9">
        <v>74000</v>
      </c>
      <c r="Q37" s="10">
        <v>16000</v>
      </c>
    </row>
    <row r="38" spans="1:17" x14ac:dyDescent="0.25">
      <c r="A38" s="2">
        <v>45328</v>
      </c>
      <c r="B38" s="1" t="s">
        <v>28</v>
      </c>
      <c r="C38" s="1">
        <v>2</v>
      </c>
      <c r="D38" s="1" t="s">
        <v>18</v>
      </c>
      <c r="E38" s="1" t="s">
        <v>23</v>
      </c>
      <c r="F38" s="1" t="s">
        <v>20</v>
      </c>
      <c r="G38" s="1" t="s">
        <v>21</v>
      </c>
      <c r="H38" s="1" t="s">
        <v>30</v>
      </c>
      <c r="I38" s="9">
        <v>88000</v>
      </c>
      <c r="J38" s="9">
        <v>49000</v>
      </c>
      <c r="K38" s="9">
        <v>39000</v>
      </c>
      <c r="L38" s="9">
        <v>65000</v>
      </c>
      <c r="M38" s="9">
        <v>12000</v>
      </c>
      <c r="N38" s="9">
        <v>6000</v>
      </c>
      <c r="O38" s="9">
        <v>73000</v>
      </c>
      <c r="P38" s="9">
        <v>79000</v>
      </c>
      <c r="Q38" s="10">
        <v>11000</v>
      </c>
    </row>
    <row r="39" spans="1:17" x14ac:dyDescent="0.25">
      <c r="A39" s="2">
        <v>45329</v>
      </c>
      <c r="B39" s="1" t="s">
        <v>28</v>
      </c>
      <c r="C39" s="1">
        <v>3</v>
      </c>
      <c r="D39" s="1" t="s">
        <v>18</v>
      </c>
      <c r="E39" s="1" t="s">
        <v>23</v>
      </c>
      <c r="F39" s="1" t="s">
        <v>24</v>
      </c>
      <c r="G39" s="1" t="s">
        <v>25</v>
      </c>
      <c r="H39" s="1" t="s">
        <v>31</v>
      </c>
      <c r="I39" s="9">
        <v>91000</v>
      </c>
      <c r="J39" s="9">
        <v>50000</v>
      </c>
      <c r="K39" s="9">
        <v>41000</v>
      </c>
      <c r="L39" s="9">
        <v>70000</v>
      </c>
      <c r="M39" s="9">
        <v>11500</v>
      </c>
      <c r="N39" s="9">
        <v>7000</v>
      </c>
      <c r="O39" s="9">
        <v>75500</v>
      </c>
      <c r="P39" s="9">
        <v>82500</v>
      </c>
      <c r="Q39" s="10">
        <v>9500</v>
      </c>
    </row>
    <row r="40" spans="1:17" x14ac:dyDescent="0.25">
      <c r="A40" s="2">
        <v>45330</v>
      </c>
      <c r="B40" s="1" t="s">
        <v>28</v>
      </c>
      <c r="C40" s="1">
        <v>4</v>
      </c>
      <c r="D40" s="1" t="s">
        <v>18</v>
      </c>
      <c r="E40" s="1" t="s">
        <v>23</v>
      </c>
      <c r="F40" s="1" t="s">
        <v>20</v>
      </c>
      <c r="G40" s="1" t="s">
        <v>21</v>
      </c>
      <c r="H40" s="1" t="s">
        <v>22</v>
      </c>
      <c r="I40" s="9">
        <v>80000</v>
      </c>
      <c r="J40" s="9">
        <v>45000</v>
      </c>
      <c r="K40" s="9">
        <v>35000</v>
      </c>
      <c r="L40" s="9">
        <v>50000</v>
      </c>
      <c r="M40" s="9">
        <v>10000</v>
      </c>
      <c r="N40" s="9">
        <v>5000</v>
      </c>
      <c r="O40" s="9">
        <v>65000</v>
      </c>
      <c r="P40" s="9">
        <v>70000</v>
      </c>
      <c r="Q40" s="10">
        <v>20000</v>
      </c>
    </row>
    <row r="41" spans="1:17" x14ac:dyDescent="0.25">
      <c r="A41" s="2">
        <v>45331</v>
      </c>
      <c r="B41" s="1" t="s">
        <v>28</v>
      </c>
      <c r="C41" s="1">
        <v>5</v>
      </c>
      <c r="D41" s="1" t="s">
        <v>18</v>
      </c>
      <c r="E41" s="1" t="s">
        <v>19</v>
      </c>
      <c r="F41" s="1" t="s">
        <v>24</v>
      </c>
      <c r="G41" s="1" t="s">
        <v>25</v>
      </c>
      <c r="H41" s="1" t="s">
        <v>29</v>
      </c>
      <c r="I41" s="9">
        <v>82000</v>
      </c>
      <c r="J41" s="9">
        <v>47000</v>
      </c>
      <c r="K41" s="9">
        <v>35000</v>
      </c>
      <c r="L41" s="9">
        <v>55000</v>
      </c>
      <c r="M41" s="9">
        <v>11000</v>
      </c>
      <c r="N41" s="9">
        <v>5000</v>
      </c>
      <c r="O41" s="9">
        <v>69000</v>
      </c>
      <c r="P41" s="9">
        <v>74000</v>
      </c>
      <c r="Q41" s="10">
        <v>16000</v>
      </c>
    </row>
    <row r="42" spans="1:17" x14ac:dyDescent="0.25">
      <c r="A42" s="2">
        <v>45332</v>
      </c>
      <c r="B42" s="1" t="s">
        <v>28</v>
      </c>
      <c r="C42" s="1">
        <v>6</v>
      </c>
      <c r="D42" s="1" t="s">
        <v>18</v>
      </c>
      <c r="E42" s="1" t="s">
        <v>23</v>
      </c>
      <c r="F42" s="1" t="s">
        <v>20</v>
      </c>
      <c r="G42" s="1" t="s">
        <v>21</v>
      </c>
      <c r="H42" s="1" t="s">
        <v>30</v>
      </c>
      <c r="I42" s="9">
        <v>88000</v>
      </c>
      <c r="J42" s="9">
        <v>49000</v>
      </c>
      <c r="K42" s="9">
        <v>39000</v>
      </c>
      <c r="L42" s="9">
        <v>65000</v>
      </c>
      <c r="M42" s="9">
        <v>12000</v>
      </c>
      <c r="N42" s="9">
        <v>6000</v>
      </c>
      <c r="O42" s="9">
        <v>73000</v>
      </c>
      <c r="P42" s="9">
        <v>79000</v>
      </c>
      <c r="Q42" s="10">
        <v>11000</v>
      </c>
    </row>
    <row r="43" spans="1:17" x14ac:dyDescent="0.25">
      <c r="A43" s="2">
        <v>45333</v>
      </c>
      <c r="B43" s="1" t="s">
        <v>28</v>
      </c>
      <c r="C43" s="1">
        <v>7</v>
      </c>
      <c r="D43" s="1" t="s">
        <v>18</v>
      </c>
      <c r="E43" s="1" t="s">
        <v>23</v>
      </c>
      <c r="F43" s="1" t="s">
        <v>24</v>
      </c>
      <c r="G43" s="1" t="s">
        <v>25</v>
      </c>
      <c r="H43" s="1" t="s">
        <v>31</v>
      </c>
      <c r="I43" s="9">
        <v>91000</v>
      </c>
      <c r="J43" s="9">
        <v>50000</v>
      </c>
      <c r="K43" s="9">
        <v>41000</v>
      </c>
      <c r="L43" s="9">
        <v>70000</v>
      </c>
      <c r="M43" s="9">
        <v>11500</v>
      </c>
      <c r="N43" s="9">
        <v>7000</v>
      </c>
      <c r="O43" s="9">
        <v>75500</v>
      </c>
      <c r="P43" s="9">
        <v>82500</v>
      </c>
      <c r="Q43" s="10">
        <v>9500</v>
      </c>
    </row>
    <row r="44" spans="1:17" x14ac:dyDescent="0.25">
      <c r="A44" s="2">
        <v>45334</v>
      </c>
      <c r="B44" s="1" t="s">
        <v>28</v>
      </c>
      <c r="C44" s="1">
        <v>1</v>
      </c>
      <c r="D44" s="1" t="s">
        <v>18</v>
      </c>
      <c r="E44" s="1" t="s">
        <v>23</v>
      </c>
      <c r="F44" s="1" t="s">
        <v>20</v>
      </c>
      <c r="G44" s="1" t="s">
        <v>21</v>
      </c>
      <c r="H44" s="1" t="s">
        <v>22</v>
      </c>
      <c r="I44" s="9">
        <v>80000</v>
      </c>
      <c r="J44" s="9">
        <v>45000</v>
      </c>
      <c r="K44" s="9">
        <v>35000</v>
      </c>
      <c r="L44" s="9">
        <v>50000</v>
      </c>
      <c r="M44" s="9">
        <v>10000</v>
      </c>
      <c r="N44" s="9">
        <v>5000</v>
      </c>
      <c r="O44" s="9">
        <v>65000</v>
      </c>
      <c r="P44" s="9">
        <v>70000</v>
      </c>
      <c r="Q44" s="10">
        <v>20000</v>
      </c>
    </row>
    <row r="45" spans="1:17" x14ac:dyDescent="0.25">
      <c r="A45" s="2">
        <v>45335</v>
      </c>
      <c r="B45" s="1" t="s">
        <v>28</v>
      </c>
      <c r="C45" s="1">
        <v>2</v>
      </c>
      <c r="D45" s="1" t="s">
        <v>18</v>
      </c>
      <c r="E45" s="1" t="s">
        <v>23</v>
      </c>
      <c r="F45" s="1" t="s">
        <v>24</v>
      </c>
      <c r="G45" s="1" t="s">
        <v>25</v>
      </c>
      <c r="H45" s="1" t="s">
        <v>29</v>
      </c>
      <c r="I45" s="9">
        <v>82000</v>
      </c>
      <c r="J45" s="9">
        <v>47000</v>
      </c>
      <c r="K45" s="9">
        <v>35000</v>
      </c>
      <c r="L45" s="9">
        <v>55000</v>
      </c>
      <c r="M45" s="9">
        <v>11000</v>
      </c>
      <c r="N45" s="9">
        <v>5000</v>
      </c>
      <c r="O45" s="9">
        <v>69000</v>
      </c>
      <c r="P45" s="9">
        <v>74000</v>
      </c>
      <c r="Q45" s="10">
        <v>16000</v>
      </c>
    </row>
    <row r="46" spans="1:17" x14ac:dyDescent="0.25">
      <c r="A46" s="2">
        <v>45336</v>
      </c>
      <c r="B46" s="1" t="s">
        <v>28</v>
      </c>
      <c r="C46" s="1">
        <v>3</v>
      </c>
      <c r="D46" s="1" t="s">
        <v>18</v>
      </c>
      <c r="E46" s="1" t="s">
        <v>23</v>
      </c>
      <c r="F46" s="1" t="s">
        <v>20</v>
      </c>
      <c r="G46" s="1" t="s">
        <v>21</v>
      </c>
      <c r="H46" s="1" t="s">
        <v>30</v>
      </c>
      <c r="I46" s="9">
        <v>88000</v>
      </c>
      <c r="J46" s="9">
        <v>49000</v>
      </c>
      <c r="K46" s="9">
        <v>39000</v>
      </c>
      <c r="L46" s="9">
        <v>65000</v>
      </c>
      <c r="M46" s="9">
        <v>12000</v>
      </c>
      <c r="N46" s="9">
        <v>6000</v>
      </c>
      <c r="O46" s="9">
        <v>73000</v>
      </c>
      <c r="P46" s="9">
        <v>79000</v>
      </c>
      <c r="Q46" s="10">
        <v>11000</v>
      </c>
    </row>
    <row r="47" spans="1:17" x14ac:dyDescent="0.25">
      <c r="A47" s="2">
        <v>45337</v>
      </c>
      <c r="B47" s="1" t="s">
        <v>28</v>
      </c>
      <c r="C47" s="1">
        <v>4</v>
      </c>
      <c r="D47" s="1" t="s">
        <v>18</v>
      </c>
      <c r="E47" s="1" t="s">
        <v>23</v>
      </c>
      <c r="F47" s="1" t="s">
        <v>24</v>
      </c>
      <c r="G47" s="1" t="s">
        <v>25</v>
      </c>
      <c r="H47" s="1" t="s">
        <v>31</v>
      </c>
      <c r="I47" s="9">
        <v>91000</v>
      </c>
      <c r="J47" s="9">
        <v>50000</v>
      </c>
      <c r="K47" s="9">
        <v>41000</v>
      </c>
      <c r="L47" s="9">
        <v>70000</v>
      </c>
      <c r="M47" s="9">
        <v>11500</v>
      </c>
      <c r="N47" s="9">
        <v>7000</v>
      </c>
      <c r="O47" s="9">
        <v>75500</v>
      </c>
      <c r="P47" s="9">
        <v>82500</v>
      </c>
      <c r="Q47" s="10">
        <v>9500</v>
      </c>
    </row>
    <row r="48" spans="1:17" x14ac:dyDescent="0.25">
      <c r="A48" s="2">
        <v>45338</v>
      </c>
      <c r="B48" s="1" t="s">
        <v>28</v>
      </c>
      <c r="C48" s="1">
        <v>5</v>
      </c>
      <c r="D48" s="1" t="s">
        <v>18</v>
      </c>
      <c r="E48" s="1" t="s">
        <v>19</v>
      </c>
      <c r="F48" s="1" t="s">
        <v>20</v>
      </c>
      <c r="G48" s="1" t="s">
        <v>21</v>
      </c>
      <c r="H48" s="1" t="s">
        <v>22</v>
      </c>
      <c r="I48" s="9">
        <v>80000</v>
      </c>
      <c r="J48" s="9">
        <v>45000</v>
      </c>
      <c r="K48" s="9">
        <v>35000</v>
      </c>
      <c r="L48" s="9">
        <v>50000</v>
      </c>
      <c r="M48" s="9">
        <v>10000</v>
      </c>
      <c r="N48" s="9">
        <v>5000</v>
      </c>
      <c r="O48" s="9">
        <v>65000</v>
      </c>
      <c r="P48" s="9">
        <v>70000</v>
      </c>
      <c r="Q48" s="10">
        <v>20000</v>
      </c>
    </row>
    <row r="49" spans="1:17" x14ac:dyDescent="0.25">
      <c r="A49" s="2">
        <v>45339</v>
      </c>
      <c r="B49" s="1" t="s">
        <v>28</v>
      </c>
      <c r="C49" s="1">
        <v>6</v>
      </c>
      <c r="D49" s="1" t="s">
        <v>18</v>
      </c>
      <c r="E49" s="1" t="s">
        <v>23</v>
      </c>
      <c r="F49" s="1" t="s">
        <v>24</v>
      </c>
      <c r="G49" s="1" t="s">
        <v>25</v>
      </c>
      <c r="H49" s="1" t="s">
        <v>29</v>
      </c>
      <c r="I49" s="9">
        <v>82000</v>
      </c>
      <c r="J49" s="9">
        <v>47000</v>
      </c>
      <c r="K49" s="9">
        <v>35000</v>
      </c>
      <c r="L49" s="9">
        <v>55000</v>
      </c>
      <c r="M49" s="9">
        <v>11000</v>
      </c>
      <c r="N49" s="9">
        <v>5000</v>
      </c>
      <c r="O49" s="9">
        <v>69000</v>
      </c>
      <c r="P49" s="9">
        <v>74000</v>
      </c>
      <c r="Q49" s="10">
        <v>16000</v>
      </c>
    </row>
    <row r="50" spans="1:17" x14ac:dyDescent="0.25">
      <c r="A50" s="2">
        <v>45340</v>
      </c>
      <c r="B50" s="1" t="s">
        <v>28</v>
      </c>
      <c r="C50" s="1">
        <v>7</v>
      </c>
      <c r="D50" s="1" t="s">
        <v>18</v>
      </c>
      <c r="E50" s="1" t="s">
        <v>23</v>
      </c>
      <c r="F50" s="1" t="s">
        <v>20</v>
      </c>
      <c r="G50" s="1" t="s">
        <v>21</v>
      </c>
      <c r="H50" s="1" t="s">
        <v>30</v>
      </c>
      <c r="I50" s="9">
        <v>88000</v>
      </c>
      <c r="J50" s="9">
        <v>49000</v>
      </c>
      <c r="K50" s="9">
        <v>39000</v>
      </c>
      <c r="L50" s="9">
        <v>65000</v>
      </c>
      <c r="M50" s="9">
        <v>12000</v>
      </c>
      <c r="N50" s="9">
        <v>6000</v>
      </c>
      <c r="O50" s="9">
        <v>73000</v>
      </c>
      <c r="P50" s="9">
        <v>79000</v>
      </c>
      <c r="Q50" s="10">
        <v>11000</v>
      </c>
    </row>
    <row r="51" spans="1:17" x14ac:dyDescent="0.25">
      <c r="A51" s="2">
        <v>45341</v>
      </c>
      <c r="B51" s="1" t="s">
        <v>28</v>
      </c>
      <c r="C51" s="1">
        <v>1</v>
      </c>
      <c r="D51" s="1" t="s">
        <v>18</v>
      </c>
      <c r="E51" s="1" t="s">
        <v>23</v>
      </c>
      <c r="F51" s="1" t="s">
        <v>24</v>
      </c>
      <c r="G51" s="1" t="s">
        <v>25</v>
      </c>
      <c r="H51" s="1" t="s">
        <v>31</v>
      </c>
      <c r="I51" s="9">
        <v>91000</v>
      </c>
      <c r="J51" s="9">
        <v>50000</v>
      </c>
      <c r="K51" s="9">
        <v>41000</v>
      </c>
      <c r="L51" s="9">
        <v>70000</v>
      </c>
      <c r="M51" s="9">
        <v>11500</v>
      </c>
      <c r="N51" s="9">
        <v>7000</v>
      </c>
      <c r="O51" s="9">
        <v>75500</v>
      </c>
      <c r="P51" s="9">
        <v>82500</v>
      </c>
      <c r="Q51" s="10">
        <v>9500</v>
      </c>
    </row>
    <row r="52" spans="1:17" x14ac:dyDescent="0.25">
      <c r="A52" s="2">
        <v>45342</v>
      </c>
      <c r="B52" s="1" t="s">
        <v>28</v>
      </c>
      <c r="C52" s="1">
        <v>2</v>
      </c>
      <c r="D52" s="1" t="s">
        <v>18</v>
      </c>
      <c r="E52" s="1" t="s">
        <v>23</v>
      </c>
      <c r="F52" s="1" t="s">
        <v>20</v>
      </c>
      <c r="G52" s="1" t="s">
        <v>21</v>
      </c>
      <c r="H52" s="1" t="s">
        <v>22</v>
      </c>
      <c r="I52" s="9">
        <v>80000</v>
      </c>
      <c r="J52" s="9">
        <v>45000</v>
      </c>
      <c r="K52" s="9">
        <v>35000</v>
      </c>
      <c r="L52" s="9">
        <v>50000</v>
      </c>
      <c r="M52" s="9">
        <v>10000</v>
      </c>
      <c r="N52" s="9">
        <v>5000</v>
      </c>
      <c r="O52" s="9">
        <v>65000</v>
      </c>
      <c r="P52" s="9">
        <v>70000</v>
      </c>
      <c r="Q52" s="10">
        <v>20000</v>
      </c>
    </row>
    <row r="53" spans="1:17" x14ac:dyDescent="0.25">
      <c r="A53" s="2">
        <v>45343</v>
      </c>
      <c r="B53" s="1" t="s">
        <v>28</v>
      </c>
      <c r="C53" s="1">
        <v>3</v>
      </c>
      <c r="D53" s="1" t="s">
        <v>18</v>
      </c>
      <c r="E53" s="1" t="s">
        <v>23</v>
      </c>
      <c r="F53" s="1" t="s">
        <v>24</v>
      </c>
      <c r="G53" s="1" t="s">
        <v>25</v>
      </c>
      <c r="H53" s="1" t="s">
        <v>29</v>
      </c>
      <c r="I53" s="9">
        <v>82000</v>
      </c>
      <c r="J53" s="9">
        <v>47000</v>
      </c>
      <c r="K53" s="9">
        <v>35000</v>
      </c>
      <c r="L53" s="9">
        <v>55000</v>
      </c>
      <c r="M53" s="9">
        <v>11000</v>
      </c>
      <c r="N53" s="9">
        <v>5000</v>
      </c>
      <c r="O53" s="9">
        <v>69000</v>
      </c>
      <c r="P53" s="9">
        <v>74000</v>
      </c>
      <c r="Q53" s="10">
        <v>16000</v>
      </c>
    </row>
    <row r="54" spans="1:17" x14ac:dyDescent="0.25">
      <c r="A54" s="2">
        <v>45344</v>
      </c>
      <c r="B54" s="1" t="s">
        <v>28</v>
      </c>
      <c r="C54" s="1">
        <v>4</v>
      </c>
      <c r="D54" s="1" t="s">
        <v>18</v>
      </c>
      <c r="E54" s="1" t="s">
        <v>23</v>
      </c>
      <c r="F54" s="1" t="s">
        <v>20</v>
      </c>
      <c r="G54" s="1" t="s">
        <v>21</v>
      </c>
      <c r="H54" s="1" t="s">
        <v>30</v>
      </c>
      <c r="I54" s="9">
        <v>88000</v>
      </c>
      <c r="J54" s="9">
        <v>49000</v>
      </c>
      <c r="K54" s="9">
        <v>39000</v>
      </c>
      <c r="L54" s="9">
        <v>65000</v>
      </c>
      <c r="M54" s="9">
        <v>12000</v>
      </c>
      <c r="N54" s="9">
        <v>6000</v>
      </c>
      <c r="O54" s="9">
        <v>73000</v>
      </c>
      <c r="P54" s="9">
        <v>79000</v>
      </c>
      <c r="Q54" s="10">
        <v>11000</v>
      </c>
    </row>
    <row r="55" spans="1:17" x14ac:dyDescent="0.25">
      <c r="A55" s="2">
        <v>45345</v>
      </c>
      <c r="B55" s="1" t="s">
        <v>28</v>
      </c>
      <c r="C55" s="1">
        <v>5</v>
      </c>
      <c r="D55" s="1" t="s">
        <v>18</v>
      </c>
      <c r="E55" s="1" t="s">
        <v>19</v>
      </c>
      <c r="F55" s="1" t="s">
        <v>24</v>
      </c>
      <c r="G55" s="1" t="s">
        <v>25</v>
      </c>
      <c r="H55" s="1" t="s">
        <v>31</v>
      </c>
      <c r="I55" s="9">
        <v>91000</v>
      </c>
      <c r="J55" s="9">
        <v>50000</v>
      </c>
      <c r="K55" s="9">
        <v>41000</v>
      </c>
      <c r="L55" s="9">
        <v>70000</v>
      </c>
      <c r="M55" s="9">
        <v>11500</v>
      </c>
      <c r="N55" s="9">
        <v>7000</v>
      </c>
      <c r="O55" s="9">
        <v>75500</v>
      </c>
      <c r="P55" s="9">
        <v>82500</v>
      </c>
      <c r="Q55" s="10">
        <v>9500</v>
      </c>
    </row>
    <row r="56" spans="1:17" x14ac:dyDescent="0.25">
      <c r="A56" s="2">
        <v>45346</v>
      </c>
      <c r="B56" s="1" t="s">
        <v>28</v>
      </c>
      <c r="C56" s="1">
        <v>6</v>
      </c>
      <c r="D56" s="1" t="s">
        <v>18</v>
      </c>
      <c r="E56" s="1" t="s">
        <v>23</v>
      </c>
      <c r="F56" s="1" t="s">
        <v>20</v>
      </c>
      <c r="G56" s="1" t="s">
        <v>21</v>
      </c>
      <c r="H56" s="1" t="s">
        <v>22</v>
      </c>
      <c r="I56" s="9">
        <v>80000</v>
      </c>
      <c r="J56" s="9">
        <v>45000</v>
      </c>
      <c r="K56" s="9">
        <v>35000</v>
      </c>
      <c r="L56" s="9">
        <v>50000</v>
      </c>
      <c r="M56" s="9">
        <v>10000</v>
      </c>
      <c r="N56" s="9">
        <v>5000</v>
      </c>
      <c r="O56" s="9">
        <v>65000</v>
      </c>
      <c r="P56" s="9">
        <v>70000</v>
      </c>
      <c r="Q56" s="10">
        <v>20000</v>
      </c>
    </row>
    <row r="57" spans="1:17" x14ac:dyDescent="0.25">
      <c r="A57" s="2">
        <v>45347</v>
      </c>
      <c r="B57" s="1" t="s">
        <v>28</v>
      </c>
      <c r="C57" s="1">
        <v>7</v>
      </c>
      <c r="D57" s="1" t="s">
        <v>18</v>
      </c>
      <c r="E57" s="1" t="s">
        <v>23</v>
      </c>
      <c r="F57" s="1" t="s">
        <v>24</v>
      </c>
      <c r="G57" s="1" t="s">
        <v>25</v>
      </c>
      <c r="H57" s="1" t="s">
        <v>29</v>
      </c>
      <c r="I57" s="9">
        <v>82000</v>
      </c>
      <c r="J57" s="9">
        <v>47000</v>
      </c>
      <c r="K57" s="9">
        <v>35000</v>
      </c>
      <c r="L57" s="9">
        <v>55000</v>
      </c>
      <c r="M57" s="9">
        <v>11000</v>
      </c>
      <c r="N57" s="9">
        <v>5000</v>
      </c>
      <c r="O57" s="9">
        <v>69000</v>
      </c>
      <c r="P57" s="9">
        <v>74000</v>
      </c>
      <c r="Q57" s="10">
        <v>16000</v>
      </c>
    </row>
    <row r="58" spans="1:17" x14ac:dyDescent="0.25">
      <c r="A58" s="2">
        <v>45348</v>
      </c>
      <c r="B58" s="1" t="s">
        <v>28</v>
      </c>
      <c r="C58" s="1">
        <v>1</v>
      </c>
      <c r="D58" s="1" t="s">
        <v>18</v>
      </c>
      <c r="E58" s="1" t="s">
        <v>23</v>
      </c>
      <c r="F58" s="1" t="s">
        <v>20</v>
      </c>
      <c r="G58" s="1" t="s">
        <v>21</v>
      </c>
      <c r="H58" s="1" t="s">
        <v>30</v>
      </c>
      <c r="I58" s="9">
        <v>88000</v>
      </c>
      <c r="J58" s="9">
        <v>49000</v>
      </c>
      <c r="K58" s="9">
        <v>39000</v>
      </c>
      <c r="L58" s="9">
        <v>65000</v>
      </c>
      <c r="M58" s="9">
        <v>12000</v>
      </c>
      <c r="N58" s="9">
        <v>6000</v>
      </c>
      <c r="O58" s="9">
        <v>73000</v>
      </c>
      <c r="P58" s="9">
        <v>79000</v>
      </c>
      <c r="Q58" s="10">
        <v>11000</v>
      </c>
    </row>
    <row r="59" spans="1:17" x14ac:dyDescent="0.25">
      <c r="A59" s="2">
        <v>45349</v>
      </c>
      <c r="B59" s="1" t="s">
        <v>28</v>
      </c>
      <c r="C59" s="1">
        <v>2</v>
      </c>
      <c r="D59" s="1" t="s">
        <v>18</v>
      </c>
      <c r="E59" s="1" t="s">
        <v>23</v>
      </c>
      <c r="F59" s="1" t="s">
        <v>24</v>
      </c>
      <c r="G59" s="1" t="s">
        <v>25</v>
      </c>
      <c r="H59" s="1" t="s">
        <v>31</v>
      </c>
      <c r="I59" s="9">
        <v>91000</v>
      </c>
      <c r="J59" s="9">
        <v>50000</v>
      </c>
      <c r="K59" s="9">
        <v>41000</v>
      </c>
      <c r="L59" s="9">
        <v>70000</v>
      </c>
      <c r="M59" s="9">
        <v>11500</v>
      </c>
      <c r="N59" s="9">
        <v>7000</v>
      </c>
      <c r="O59" s="9">
        <v>75500</v>
      </c>
      <c r="P59" s="9">
        <v>82500</v>
      </c>
      <c r="Q59" s="10">
        <v>9500</v>
      </c>
    </row>
    <row r="60" spans="1:17" x14ac:dyDescent="0.25">
      <c r="A60" s="2">
        <v>45350</v>
      </c>
      <c r="B60" s="1" t="s">
        <v>28</v>
      </c>
      <c r="C60" s="1">
        <v>3</v>
      </c>
      <c r="D60" s="1" t="s">
        <v>18</v>
      </c>
      <c r="E60" s="1" t="s">
        <v>23</v>
      </c>
      <c r="F60" s="1" t="s">
        <v>20</v>
      </c>
      <c r="G60" s="1" t="s">
        <v>21</v>
      </c>
      <c r="H60" s="1" t="s">
        <v>22</v>
      </c>
      <c r="I60" s="9">
        <v>80000</v>
      </c>
      <c r="J60" s="9">
        <v>45000</v>
      </c>
      <c r="K60" s="9">
        <v>35000</v>
      </c>
      <c r="L60" s="9">
        <v>50000</v>
      </c>
      <c r="M60" s="9">
        <v>10000</v>
      </c>
      <c r="N60" s="9">
        <v>5000</v>
      </c>
      <c r="O60" s="9">
        <v>65000</v>
      </c>
      <c r="P60" s="9">
        <v>70000</v>
      </c>
      <c r="Q60" s="10">
        <v>20000</v>
      </c>
    </row>
    <row r="61" spans="1:17" x14ac:dyDescent="0.25">
      <c r="A61" s="2">
        <v>45351</v>
      </c>
      <c r="B61" s="1" t="s">
        <v>28</v>
      </c>
      <c r="C61" s="1">
        <v>4</v>
      </c>
      <c r="D61" s="1" t="s">
        <v>18</v>
      </c>
      <c r="E61" s="1" t="s">
        <v>23</v>
      </c>
      <c r="F61" s="1" t="s">
        <v>24</v>
      </c>
      <c r="G61" s="1" t="s">
        <v>25</v>
      </c>
      <c r="H61" s="1" t="s">
        <v>29</v>
      </c>
      <c r="I61" s="9">
        <v>82000</v>
      </c>
      <c r="J61" s="9">
        <v>47000</v>
      </c>
      <c r="K61" s="9">
        <v>35000</v>
      </c>
      <c r="L61" s="9">
        <v>55000</v>
      </c>
      <c r="M61" s="9">
        <v>11000</v>
      </c>
      <c r="N61" s="9">
        <v>5000</v>
      </c>
      <c r="O61" s="9">
        <v>69000</v>
      </c>
      <c r="P61" s="9">
        <v>74000</v>
      </c>
      <c r="Q61" s="10">
        <v>16000</v>
      </c>
    </row>
    <row r="62" spans="1:17" x14ac:dyDescent="0.25">
      <c r="A62" s="2">
        <v>45352</v>
      </c>
      <c r="B62" s="1" t="s">
        <v>32</v>
      </c>
      <c r="C62" s="1">
        <v>5</v>
      </c>
      <c r="D62" s="1" t="s">
        <v>33</v>
      </c>
      <c r="E62" s="1" t="s">
        <v>19</v>
      </c>
      <c r="F62" s="1" t="s">
        <v>24</v>
      </c>
      <c r="G62" s="1" t="s">
        <v>25</v>
      </c>
      <c r="H62" s="1" t="s">
        <v>31</v>
      </c>
      <c r="I62" s="9">
        <v>91000</v>
      </c>
      <c r="J62" s="9">
        <v>50000</v>
      </c>
      <c r="K62" s="9">
        <v>41000</v>
      </c>
      <c r="L62" s="9">
        <v>70000</v>
      </c>
      <c r="M62" s="9">
        <v>11500</v>
      </c>
      <c r="N62" s="9">
        <v>7000</v>
      </c>
      <c r="O62" s="9">
        <v>75500</v>
      </c>
      <c r="P62" s="9">
        <v>82500</v>
      </c>
      <c r="Q62" s="10">
        <v>9500</v>
      </c>
    </row>
    <row r="63" spans="1:17" x14ac:dyDescent="0.25">
      <c r="A63" s="2">
        <v>45353</v>
      </c>
      <c r="B63" s="1" t="s">
        <v>32</v>
      </c>
      <c r="C63" s="1">
        <v>6</v>
      </c>
      <c r="D63" s="1" t="s">
        <v>33</v>
      </c>
      <c r="E63" s="1" t="s">
        <v>23</v>
      </c>
      <c r="F63" s="1" t="s">
        <v>24</v>
      </c>
      <c r="G63" s="1" t="s">
        <v>25</v>
      </c>
      <c r="H63" s="1" t="s">
        <v>26</v>
      </c>
      <c r="I63" s="9">
        <v>85000</v>
      </c>
      <c r="J63" s="9">
        <v>48000</v>
      </c>
      <c r="K63" s="9">
        <v>37000</v>
      </c>
      <c r="L63" s="9">
        <v>60000</v>
      </c>
      <c r="M63" s="9">
        <v>12000</v>
      </c>
      <c r="N63" s="9">
        <v>6000</v>
      </c>
      <c r="O63" s="9">
        <v>73000</v>
      </c>
      <c r="P63" s="9">
        <v>79000</v>
      </c>
      <c r="Q63" s="10">
        <v>13000</v>
      </c>
    </row>
    <row r="64" spans="1:17" x14ac:dyDescent="0.25">
      <c r="A64" s="2">
        <v>45354</v>
      </c>
      <c r="B64" s="1" t="s">
        <v>32</v>
      </c>
      <c r="C64" s="1">
        <v>7</v>
      </c>
      <c r="D64" s="1" t="s">
        <v>33</v>
      </c>
      <c r="E64" s="1" t="s">
        <v>23</v>
      </c>
      <c r="F64" s="1" t="s">
        <v>20</v>
      </c>
      <c r="G64" s="1" t="s">
        <v>21</v>
      </c>
      <c r="H64" s="1" t="s">
        <v>27</v>
      </c>
      <c r="I64" s="9">
        <v>90000</v>
      </c>
      <c r="J64" s="9">
        <v>49000</v>
      </c>
      <c r="K64" s="9">
        <v>41000</v>
      </c>
      <c r="L64" s="9">
        <v>70000</v>
      </c>
      <c r="M64" s="9">
        <v>11000</v>
      </c>
      <c r="N64" s="9">
        <v>7000</v>
      </c>
      <c r="O64" s="9">
        <v>76000</v>
      </c>
      <c r="P64" s="9">
        <v>83000</v>
      </c>
      <c r="Q64" s="10">
        <v>9000</v>
      </c>
    </row>
    <row r="65" spans="1:17" x14ac:dyDescent="0.25">
      <c r="A65" s="2">
        <v>45355</v>
      </c>
      <c r="B65" s="1" t="s">
        <v>32</v>
      </c>
      <c r="C65" s="1">
        <v>1</v>
      </c>
      <c r="D65" s="1" t="s">
        <v>33</v>
      </c>
      <c r="E65" s="1" t="s">
        <v>23</v>
      </c>
      <c r="F65" s="1" t="s">
        <v>20</v>
      </c>
      <c r="G65" s="1" t="s">
        <v>21</v>
      </c>
      <c r="H65" s="1" t="s">
        <v>22</v>
      </c>
      <c r="I65" s="9">
        <v>80000</v>
      </c>
      <c r="J65" s="9">
        <v>45000</v>
      </c>
      <c r="K65" s="9">
        <v>35000</v>
      </c>
      <c r="L65" s="9">
        <v>50000</v>
      </c>
      <c r="M65" s="9">
        <v>10000</v>
      </c>
      <c r="N65" s="9">
        <v>5000</v>
      </c>
      <c r="O65" s="9">
        <v>65000</v>
      </c>
      <c r="P65" s="9">
        <v>70000</v>
      </c>
      <c r="Q65" s="10">
        <v>20000</v>
      </c>
    </row>
    <row r="66" spans="1:17" x14ac:dyDescent="0.25">
      <c r="A66" s="2">
        <v>45356</v>
      </c>
      <c r="B66" s="1" t="s">
        <v>32</v>
      </c>
      <c r="C66" s="1">
        <v>2</v>
      </c>
      <c r="D66" s="1" t="s">
        <v>33</v>
      </c>
      <c r="E66" s="1" t="s">
        <v>23</v>
      </c>
      <c r="F66" s="1" t="s">
        <v>24</v>
      </c>
      <c r="G66" s="1" t="s">
        <v>25</v>
      </c>
      <c r="H66" s="1" t="s">
        <v>26</v>
      </c>
      <c r="I66" s="9">
        <v>85000</v>
      </c>
      <c r="J66" s="9">
        <v>48000</v>
      </c>
      <c r="K66" s="9">
        <v>37000</v>
      </c>
      <c r="L66" s="9">
        <v>60000</v>
      </c>
      <c r="M66" s="9">
        <v>12000</v>
      </c>
      <c r="N66" s="9">
        <v>6000</v>
      </c>
      <c r="O66" s="9">
        <v>73000</v>
      </c>
      <c r="P66" s="9">
        <v>79000</v>
      </c>
      <c r="Q66" s="10">
        <v>13000</v>
      </c>
    </row>
    <row r="67" spans="1:17" x14ac:dyDescent="0.25">
      <c r="A67" s="2">
        <v>45357</v>
      </c>
      <c r="B67" s="1" t="s">
        <v>32</v>
      </c>
      <c r="C67" s="1">
        <v>3</v>
      </c>
      <c r="D67" s="1" t="s">
        <v>33</v>
      </c>
      <c r="E67" s="1" t="s">
        <v>23</v>
      </c>
      <c r="F67" s="1" t="s">
        <v>20</v>
      </c>
      <c r="G67" s="1" t="s">
        <v>21</v>
      </c>
      <c r="H67" s="1" t="s">
        <v>27</v>
      </c>
      <c r="I67" s="9">
        <v>90000</v>
      </c>
      <c r="J67" s="9">
        <v>49000</v>
      </c>
      <c r="K67" s="9">
        <v>41000</v>
      </c>
      <c r="L67" s="9">
        <v>70000</v>
      </c>
      <c r="M67" s="9">
        <v>11000</v>
      </c>
      <c r="N67" s="9">
        <v>7000</v>
      </c>
      <c r="O67" s="9">
        <v>76000</v>
      </c>
      <c r="P67" s="9">
        <v>83000</v>
      </c>
      <c r="Q67" s="10">
        <v>9000</v>
      </c>
    </row>
    <row r="68" spans="1:17" x14ac:dyDescent="0.25">
      <c r="A68" s="2">
        <v>45358</v>
      </c>
      <c r="B68" s="1" t="s">
        <v>32</v>
      </c>
      <c r="C68" s="1">
        <v>4</v>
      </c>
      <c r="D68" s="1" t="s">
        <v>33</v>
      </c>
      <c r="E68" s="1" t="s">
        <v>23</v>
      </c>
      <c r="F68" s="1" t="s">
        <v>20</v>
      </c>
      <c r="G68" s="1" t="s">
        <v>21</v>
      </c>
      <c r="H68" s="1" t="s">
        <v>22</v>
      </c>
      <c r="I68" s="9">
        <v>80000</v>
      </c>
      <c r="J68" s="9">
        <v>45000</v>
      </c>
      <c r="K68" s="9">
        <v>35000</v>
      </c>
      <c r="L68" s="9">
        <v>50000</v>
      </c>
      <c r="M68" s="9">
        <v>10000</v>
      </c>
      <c r="N68" s="9">
        <v>5000</v>
      </c>
      <c r="O68" s="9">
        <v>65000</v>
      </c>
      <c r="P68" s="9">
        <v>70000</v>
      </c>
      <c r="Q68" s="10">
        <v>20000</v>
      </c>
    </row>
    <row r="69" spans="1:17" x14ac:dyDescent="0.25">
      <c r="A69" s="2">
        <v>45359</v>
      </c>
      <c r="B69" s="1" t="s">
        <v>32</v>
      </c>
      <c r="C69" s="1">
        <v>5</v>
      </c>
      <c r="D69" s="1" t="s">
        <v>33</v>
      </c>
      <c r="E69" s="1" t="s">
        <v>19</v>
      </c>
      <c r="F69" s="1" t="s">
        <v>24</v>
      </c>
      <c r="G69" s="1" t="s">
        <v>25</v>
      </c>
      <c r="H69" s="1" t="s">
        <v>26</v>
      </c>
      <c r="I69" s="9">
        <v>85000</v>
      </c>
      <c r="J69" s="9">
        <v>48000</v>
      </c>
      <c r="K69" s="9">
        <v>37000</v>
      </c>
      <c r="L69" s="9">
        <v>60000</v>
      </c>
      <c r="M69" s="9">
        <v>12000</v>
      </c>
      <c r="N69" s="9">
        <v>6000</v>
      </c>
      <c r="O69" s="9">
        <v>73000</v>
      </c>
      <c r="P69" s="9">
        <v>79000</v>
      </c>
      <c r="Q69" s="10">
        <v>13000</v>
      </c>
    </row>
    <row r="70" spans="1:17" x14ac:dyDescent="0.25">
      <c r="A70" s="2">
        <v>45360</v>
      </c>
      <c r="B70" s="1" t="s">
        <v>32</v>
      </c>
      <c r="C70" s="1">
        <v>6</v>
      </c>
      <c r="D70" s="1" t="s">
        <v>33</v>
      </c>
      <c r="E70" s="1" t="s">
        <v>23</v>
      </c>
      <c r="F70" s="1" t="s">
        <v>20</v>
      </c>
      <c r="G70" s="1" t="s">
        <v>21</v>
      </c>
      <c r="H70" s="1" t="s">
        <v>27</v>
      </c>
      <c r="I70" s="9">
        <v>90000</v>
      </c>
      <c r="J70" s="9">
        <v>49000</v>
      </c>
      <c r="K70" s="9">
        <v>41000</v>
      </c>
      <c r="L70" s="9">
        <v>70000</v>
      </c>
      <c r="M70" s="9">
        <v>11000</v>
      </c>
      <c r="N70" s="9">
        <v>7000</v>
      </c>
      <c r="O70" s="9">
        <v>76000</v>
      </c>
      <c r="P70" s="9">
        <v>83000</v>
      </c>
      <c r="Q70" s="10">
        <v>9000</v>
      </c>
    </row>
    <row r="71" spans="1:17" x14ac:dyDescent="0.25">
      <c r="A71" s="2">
        <v>45361</v>
      </c>
      <c r="B71" s="1" t="s">
        <v>32</v>
      </c>
      <c r="C71" s="1">
        <v>7</v>
      </c>
      <c r="D71" s="1" t="s">
        <v>33</v>
      </c>
      <c r="E71" s="1" t="s">
        <v>23</v>
      </c>
      <c r="F71" s="1" t="s">
        <v>20</v>
      </c>
      <c r="G71" s="1" t="s">
        <v>21</v>
      </c>
      <c r="H71" s="1" t="s">
        <v>22</v>
      </c>
      <c r="I71" s="9">
        <v>80000</v>
      </c>
      <c r="J71" s="9">
        <v>45000</v>
      </c>
      <c r="K71" s="9">
        <v>35000</v>
      </c>
      <c r="L71" s="9">
        <v>50000</v>
      </c>
      <c r="M71" s="9">
        <v>10000</v>
      </c>
      <c r="N71" s="9">
        <v>5000</v>
      </c>
      <c r="O71" s="9">
        <v>65000</v>
      </c>
      <c r="P71" s="9">
        <v>70000</v>
      </c>
      <c r="Q71" s="10">
        <v>20000</v>
      </c>
    </row>
    <row r="72" spans="1:17" x14ac:dyDescent="0.25">
      <c r="A72" s="2">
        <v>45362</v>
      </c>
      <c r="B72" s="1" t="s">
        <v>32</v>
      </c>
      <c r="C72" s="1">
        <v>1</v>
      </c>
      <c r="D72" s="1" t="s">
        <v>33</v>
      </c>
      <c r="E72" s="1" t="s">
        <v>23</v>
      </c>
      <c r="F72" s="1" t="s">
        <v>24</v>
      </c>
      <c r="G72" s="1" t="s">
        <v>25</v>
      </c>
      <c r="H72" s="1" t="s">
        <v>26</v>
      </c>
      <c r="I72" s="9">
        <v>85000</v>
      </c>
      <c r="J72" s="9">
        <v>48000</v>
      </c>
      <c r="K72" s="9">
        <v>37000</v>
      </c>
      <c r="L72" s="9">
        <v>60000</v>
      </c>
      <c r="M72" s="9">
        <v>12000</v>
      </c>
      <c r="N72" s="9">
        <v>6000</v>
      </c>
      <c r="O72" s="9">
        <v>73000</v>
      </c>
      <c r="P72" s="9">
        <v>79000</v>
      </c>
      <c r="Q72" s="10">
        <v>13000</v>
      </c>
    </row>
    <row r="73" spans="1:17" x14ac:dyDescent="0.25">
      <c r="A73" s="2">
        <v>45363</v>
      </c>
      <c r="B73" s="1" t="s">
        <v>32</v>
      </c>
      <c r="C73" s="1">
        <v>2</v>
      </c>
      <c r="D73" s="1" t="s">
        <v>33</v>
      </c>
      <c r="E73" s="1" t="s">
        <v>23</v>
      </c>
      <c r="F73" s="1" t="s">
        <v>20</v>
      </c>
      <c r="G73" s="1" t="s">
        <v>21</v>
      </c>
      <c r="H73" s="1" t="s">
        <v>27</v>
      </c>
      <c r="I73" s="9">
        <v>90000</v>
      </c>
      <c r="J73" s="9">
        <v>49000</v>
      </c>
      <c r="K73" s="9">
        <v>41000</v>
      </c>
      <c r="L73" s="9">
        <v>70000</v>
      </c>
      <c r="M73" s="9">
        <v>11000</v>
      </c>
      <c r="N73" s="9">
        <v>7000</v>
      </c>
      <c r="O73" s="9">
        <v>76000</v>
      </c>
      <c r="P73" s="9">
        <v>83000</v>
      </c>
      <c r="Q73" s="10">
        <v>9000</v>
      </c>
    </row>
    <row r="74" spans="1:17" x14ac:dyDescent="0.25">
      <c r="A74" s="2">
        <v>45364</v>
      </c>
      <c r="B74" s="1" t="s">
        <v>32</v>
      </c>
      <c r="C74" s="1">
        <v>3</v>
      </c>
      <c r="D74" s="1" t="s">
        <v>33</v>
      </c>
      <c r="E74" s="1" t="s">
        <v>23</v>
      </c>
      <c r="F74" s="1" t="s">
        <v>20</v>
      </c>
      <c r="G74" s="1" t="s">
        <v>21</v>
      </c>
      <c r="H74" s="1" t="s">
        <v>22</v>
      </c>
      <c r="I74" s="9">
        <v>80000</v>
      </c>
      <c r="J74" s="9">
        <v>45000</v>
      </c>
      <c r="K74" s="9">
        <v>35000</v>
      </c>
      <c r="L74" s="9">
        <v>50000</v>
      </c>
      <c r="M74" s="9">
        <v>10000</v>
      </c>
      <c r="N74" s="9">
        <v>5000</v>
      </c>
      <c r="O74" s="9">
        <v>65000</v>
      </c>
      <c r="P74" s="9">
        <v>70000</v>
      </c>
      <c r="Q74" s="10">
        <v>20000</v>
      </c>
    </row>
    <row r="75" spans="1:17" x14ac:dyDescent="0.25">
      <c r="A75" s="2">
        <v>45365</v>
      </c>
      <c r="B75" s="1" t="s">
        <v>32</v>
      </c>
      <c r="C75" s="1">
        <v>4</v>
      </c>
      <c r="D75" s="1" t="s">
        <v>33</v>
      </c>
      <c r="E75" s="1" t="s">
        <v>23</v>
      </c>
      <c r="F75" s="1" t="s">
        <v>24</v>
      </c>
      <c r="G75" s="1" t="s">
        <v>25</v>
      </c>
      <c r="H75" s="1" t="s">
        <v>26</v>
      </c>
      <c r="I75" s="9">
        <v>85000</v>
      </c>
      <c r="J75" s="9">
        <v>48000</v>
      </c>
      <c r="K75" s="9">
        <v>37000</v>
      </c>
      <c r="L75" s="9">
        <v>60000</v>
      </c>
      <c r="M75" s="9">
        <v>12000</v>
      </c>
      <c r="N75" s="9">
        <v>6000</v>
      </c>
      <c r="O75" s="9">
        <v>73000</v>
      </c>
      <c r="P75" s="9">
        <v>79000</v>
      </c>
      <c r="Q75" s="10">
        <v>13000</v>
      </c>
    </row>
    <row r="76" spans="1:17" x14ac:dyDescent="0.25">
      <c r="A76" s="2">
        <v>45366</v>
      </c>
      <c r="B76" s="1" t="s">
        <v>32</v>
      </c>
      <c r="C76" s="1">
        <v>5</v>
      </c>
      <c r="D76" s="1" t="s">
        <v>33</v>
      </c>
      <c r="E76" s="1" t="s">
        <v>19</v>
      </c>
      <c r="F76" s="1" t="s">
        <v>20</v>
      </c>
      <c r="G76" s="1" t="s">
        <v>21</v>
      </c>
      <c r="H76" s="1" t="s">
        <v>27</v>
      </c>
      <c r="I76" s="9">
        <v>90000</v>
      </c>
      <c r="J76" s="9">
        <v>49000</v>
      </c>
      <c r="K76" s="9">
        <v>41000</v>
      </c>
      <c r="L76" s="9">
        <v>70000</v>
      </c>
      <c r="M76" s="9">
        <v>11000</v>
      </c>
      <c r="N76" s="9">
        <v>7000</v>
      </c>
      <c r="O76" s="9">
        <v>76000</v>
      </c>
      <c r="P76" s="9">
        <v>83000</v>
      </c>
      <c r="Q76" s="10">
        <v>9000</v>
      </c>
    </row>
    <row r="77" spans="1:17" x14ac:dyDescent="0.25">
      <c r="A77" s="2">
        <v>45367</v>
      </c>
      <c r="B77" s="1" t="s">
        <v>32</v>
      </c>
      <c r="C77" s="1">
        <v>6</v>
      </c>
      <c r="D77" s="1" t="s">
        <v>33</v>
      </c>
      <c r="E77" s="1" t="s">
        <v>23</v>
      </c>
      <c r="F77" s="1" t="s">
        <v>20</v>
      </c>
      <c r="G77" s="1" t="s">
        <v>21</v>
      </c>
      <c r="H77" s="1" t="s">
        <v>22</v>
      </c>
      <c r="I77" s="9">
        <v>80000</v>
      </c>
      <c r="J77" s="9">
        <v>45000</v>
      </c>
      <c r="K77" s="9">
        <v>35000</v>
      </c>
      <c r="L77" s="9">
        <v>50000</v>
      </c>
      <c r="M77" s="9">
        <v>10000</v>
      </c>
      <c r="N77" s="9">
        <v>5000</v>
      </c>
      <c r="O77" s="9">
        <v>65000</v>
      </c>
      <c r="P77" s="9">
        <v>70000</v>
      </c>
      <c r="Q77" s="10">
        <v>20000</v>
      </c>
    </row>
    <row r="78" spans="1:17" x14ac:dyDescent="0.25">
      <c r="A78" s="2">
        <v>45368</v>
      </c>
      <c r="B78" s="1" t="s">
        <v>32</v>
      </c>
      <c r="C78" s="1">
        <v>7</v>
      </c>
      <c r="D78" s="1" t="s">
        <v>33</v>
      </c>
      <c r="E78" s="1" t="s">
        <v>23</v>
      </c>
      <c r="F78" s="1" t="s">
        <v>24</v>
      </c>
      <c r="G78" s="1" t="s">
        <v>25</v>
      </c>
      <c r="H78" s="1" t="s">
        <v>26</v>
      </c>
      <c r="I78" s="9">
        <v>85000</v>
      </c>
      <c r="J78" s="9">
        <v>48000</v>
      </c>
      <c r="K78" s="9">
        <v>37000</v>
      </c>
      <c r="L78" s="9">
        <v>60000</v>
      </c>
      <c r="M78" s="9">
        <v>12000</v>
      </c>
      <c r="N78" s="9">
        <v>6000</v>
      </c>
      <c r="O78" s="9">
        <v>73000</v>
      </c>
      <c r="P78" s="9">
        <v>79000</v>
      </c>
      <c r="Q78" s="10">
        <v>13000</v>
      </c>
    </row>
    <row r="79" spans="1:17" x14ac:dyDescent="0.25">
      <c r="A79" s="2">
        <v>45369</v>
      </c>
      <c r="B79" s="1" t="s">
        <v>32</v>
      </c>
      <c r="C79" s="1">
        <v>1</v>
      </c>
      <c r="D79" s="1" t="s">
        <v>33</v>
      </c>
      <c r="E79" s="1" t="s">
        <v>23</v>
      </c>
      <c r="F79" s="1" t="s">
        <v>20</v>
      </c>
      <c r="G79" s="1" t="s">
        <v>21</v>
      </c>
      <c r="H79" s="1" t="s">
        <v>27</v>
      </c>
      <c r="I79" s="9">
        <v>90000</v>
      </c>
      <c r="J79" s="9">
        <v>49000</v>
      </c>
      <c r="K79" s="9">
        <v>41000</v>
      </c>
      <c r="L79" s="9">
        <v>70000</v>
      </c>
      <c r="M79" s="9">
        <v>11000</v>
      </c>
      <c r="N79" s="9">
        <v>7000</v>
      </c>
      <c r="O79" s="9">
        <v>76000</v>
      </c>
      <c r="P79" s="9">
        <v>83000</v>
      </c>
      <c r="Q79" s="10">
        <v>9000</v>
      </c>
    </row>
    <row r="80" spans="1:17" x14ac:dyDescent="0.25">
      <c r="A80" s="5">
        <v>45370</v>
      </c>
      <c r="B80" s="6" t="s">
        <v>32</v>
      </c>
      <c r="C80" s="6">
        <v>2</v>
      </c>
      <c r="D80" s="6" t="s">
        <v>33</v>
      </c>
      <c r="E80" s="6" t="s">
        <v>23</v>
      </c>
      <c r="F80" s="6" t="s">
        <v>20</v>
      </c>
      <c r="G80" s="6" t="s">
        <v>21</v>
      </c>
      <c r="H80" s="6" t="s">
        <v>22</v>
      </c>
      <c r="I80" s="11">
        <v>80000</v>
      </c>
      <c r="J80" s="11">
        <v>45000</v>
      </c>
      <c r="K80" s="11">
        <v>35000</v>
      </c>
      <c r="L80" s="11">
        <v>50000</v>
      </c>
      <c r="M80" s="11">
        <v>10000</v>
      </c>
      <c r="N80" s="11">
        <v>5000</v>
      </c>
      <c r="O80" s="11">
        <v>65000</v>
      </c>
      <c r="P80" s="11">
        <v>70000</v>
      </c>
      <c r="Q80" s="12">
        <v>20000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D048-53BA-4E04-BE53-1AABADD1B96E}">
  <dimension ref="A2:J43"/>
  <sheetViews>
    <sheetView zoomScale="70" zoomScaleNormal="70" workbookViewId="0">
      <selection activeCell="K16" sqref="K16"/>
    </sheetView>
  </sheetViews>
  <sheetFormatPr defaultRowHeight="15" x14ac:dyDescent="0.25"/>
  <cols>
    <col min="1" max="1" width="13.85546875" bestFit="1" customWidth="1"/>
    <col min="2" max="2" width="14.42578125" bestFit="1" customWidth="1"/>
    <col min="3" max="3" width="18.140625" bestFit="1" customWidth="1"/>
    <col min="4" max="4" width="12.7109375" bestFit="1" customWidth="1"/>
    <col min="5" max="5" width="13.85546875" bestFit="1" customWidth="1"/>
    <col min="6" max="6" width="23.5703125" bestFit="1" customWidth="1"/>
    <col min="7" max="7" width="26.7109375" bestFit="1" customWidth="1"/>
    <col min="8" max="8" width="9.7109375" bestFit="1" customWidth="1"/>
    <col min="9" max="9" width="13.85546875" bestFit="1" customWidth="1"/>
    <col min="10" max="10" width="12.7109375" bestFit="1" customWidth="1"/>
    <col min="11" max="12" width="9.7109375" bestFit="1" customWidth="1"/>
    <col min="13" max="13" width="26.7109375" bestFit="1" customWidth="1"/>
    <col min="14" max="19" width="9.7109375" bestFit="1" customWidth="1"/>
    <col min="20" max="20" width="28.5703125" bestFit="1" customWidth="1"/>
    <col min="21" max="21" width="31.7109375" bestFit="1" customWidth="1"/>
  </cols>
  <sheetData>
    <row r="2" spans="1:10" x14ac:dyDescent="0.25">
      <c r="A2" t="s">
        <v>34</v>
      </c>
      <c r="E2" s="18" t="s">
        <v>41</v>
      </c>
      <c r="I2" t="s">
        <v>49</v>
      </c>
    </row>
    <row r="3" spans="1:10" x14ac:dyDescent="0.25">
      <c r="A3" s="15" t="s">
        <v>36</v>
      </c>
      <c r="B3" t="s">
        <v>38</v>
      </c>
      <c r="E3" s="15" t="s">
        <v>36</v>
      </c>
      <c r="F3" t="s">
        <v>39</v>
      </c>
      <c r="G3" t="s">
        <v>40</v>
      </c>
    </row>
    <row r="4" spans="1:10" x14ac:dyDescent="0.25">
      <c r="A4" s="16" t="s">
        <v>17</v>
      </c>
      <c r="B4" s="14">
        <v>2630000</v>
      </c>
      <c r="E4" s="16" t="s">
        <v>29</v>
      </c>
      <c r="F4" s="14">
        <v>376000</v>
      </c>
      <c r="G4" s="14">
        <v>280000</v>
      </c>
      <c r="I4" s="15" t="s">
        <v>36</v>
      </c>
      <c r="J4" t="s">
        <v>48</v>
      </c>
    </row>
    <row r="5" spans="1:10" x14ac:dyDescent="0.25">
      <c r="A5" s="17">
        <v>1</v>
      </c>
      <c r="B5" s="14">
        <v>420000</v>
      </c>
      <c r="E5" s="16" t="s">
        <v>27</v>
      </c>
      <c r="F5" s="14">
        <v>784000</v>
      </c>
      <c r="G5" s="14">
        <v>656000</v>
      </c>
      <c r="I5" s="16" t="s">
        <v>17</v>
      </c>
      <c r="J5" s="14">
        <v>440000</v>
      </c>
    </row>
    <row r="6" spans="1:10" x14ac:dyDescent="0.25">
      <c r="A6" s="17">
        <v>2</v>
      </c>
      <c r="B6" s="14">
        <v>430000</v>
      </c>
      <c r="E6" s="16" t="s">
        <v>30</v>
      </c>
      <c r="F6" s="14">
        <v>343000</v>
      </c>
      <c r="G6" s="14">
        <v>273000</v>
      </c>
      <c r="I6" s="16" t="s">
        <v>28</v>
      </c>
      <c r="J6" s="14">
        <v>411500</v>
      </c>
    </row>
    <row r="7" spans="1:10" x14ac:dyDescent="0.25">
      <c r="A7" s="17">
        <v>3</v>
      </c>
      <c r="B7" s="14">
        <v>425000</v>
      </c>
      <c r="E7" s="16" t="s">
        <v>31</v>
      </c>
      <c r="F7" s="14">
        <v>400000</v>
      </c>
      <c r="G7" s="14">
        <v>328000</v>
      </c>
      <c r="I7" s="16" t="s">
        <v>32</v>
      </c>
      <c r="J7" s="14">
        <v>261500</v>
      </c>
    </row>
    <row r="8" spans="1:10" x14ac:dyDescent="0.25">
      <c r="A8" s="17">
        <v>4</v>
      </c>
      <c r="B8" s="14">
        <v>335000</v>
      </c>
      <c r="E8" s="16" t="s">
        <v>26</v>
      </c>
      <c r="F8" s="14">
        <v>768000</v>
      </c>
      <c r="G8" s="14">
        <v>592000</v>
      </c>
      <c r="I8" s="16" t="s">
        <v>37</v>
      </c>
      <c r="J8" s="14">
        <v>1113000</v>
      </c>
    </row>
    <row r="9" spans="1:10" x14ac:dyDescent="0.25">
      <c r="A9" s="17">
        <v>5</v>
      </c>
      <c r="B9" s="14">
        <v>340000</v>
      </c>
      <c r="E9" s="16" t="s">
        <v>22</v>
      </c>
      <c r="F9" s="14">
        <v>1080000</v>
      </c>
      <c r="G9" s="14">
        <v>840000</v>
      </c>
    </row>
    <row r="10" spans="1:10" x14ac:dyDescent="0.25">
      <c r="A10" s="17">
        <v>6</v>
      </c>
      <c r="B10" s="14">
        <v>345000</v>
      </c>
      <c r="E10" s="16" t="s">
        <v>37</v>
      </c>
      <c r="F10" s="14">
        <v>3751000</v>
      </c>
      <c r="G10" s="14">
        <v>2969000</v>
      </c>
    </row>
    <row r="11" spans="1:10" x14ac:dyDescent="0.25">
      <c r="A11" s="17">
        <v>7</v>
      </c>
      <c r="B11" s="14">
        <v>335000</v>
      </c>
    </row>
    <row r="12" spans="1:10" x14ac:dyDescent="0.25">
      <c r="A12" s="16" t="s">
        <v>37</v>
      </c>
      <c r="B12" s="14">
        <v>2630000</v>
      </c>
    </row>
    <row r="13" spans="1:10" x14ac:dyDescent="0.25">
      <c r="E13" s="18" t="s">
        <v>42</v>
      </c>
    </row>
    <row r="14" spans="1:10" x14ac:dyDescent="0.25">
      <c r="A14" s="15" t="s">
        <v>36</v>
      </c>
      <c r="B14" t="s">
        <v>38</v>
      </c>
      <c r="E14" s="15" t="s">
        <v>36</v>
      </c>
      <c r="F14" t="s">
        <v>43</v>
      </c>
      <c r="G14" t="s">
        <v>44</v>
      </c>
    </row>
    <row r="15" spans="1:10" x14ac:dyDescent="0.25">
      <c r="A15" s="16" t="s">
        <v>28</v>
      </c>
      <c r="B15" s="14">
        <v>2469000</v>
      </c>
      <c r="E15" s="16" t="s">
        <v>17</v>
      </c>
      <c r="F15" s="14">
        <v>1850000</v>
      </c>
      <c r="G15" s="14">
        <v>340000</v>
      </c>
    </row>
    <row r="16" spans="1:10" x14ac:dyDescent="0.25">
      <c r="A16" s="17">
        <v>1</v>
      </c>
      <c r="B16" s="14">
        <v>341000</v>
      </c>
      <c r="E16" s="17">
        <v>1</v>
      </c>
      <c r="F16" s="14">
        <v>290000</v>
      </c>
      <c r="G16" s="14">
        <v>55000</v>
      </c>
    </row>
    <row r="17" spans="1:7" x14ac:dyDescent="0.25">
      <c r="A17" s="17">
        <v>2</v>
      </c>
      <c r="B17" s="14">
        <v>341000</v>
      </c>
      <c r="E17" s="17">
        <v>2</v>
      </c>
      <c r="F17" s="14">
        <v>310000</v>
      </c>
      <c r="G17" s="14">
        <v>56000</v>
      </c>
    </row>
    <row r="18" spans="1:7" x14ac:dyDescent="0.25">
      <c r="A18" s="17">
        <v>3</v>
      </c>
      <c r="B18" s="14">
        <v>341000</v>
      </c>
      <c r="E18" s="17">
        <v>3</v>
      </c>
      <c r="F18" s="14">
        <v>300000</v>
      </c>
      <c r="G18" s="14">
        <v>54000</v>
      </c>
    </row>
    <row r="19" spans="1:7" x14ac:dyDescent="0.25">
      <c r="A19" s="17">
        <v>4</v>
      </c>
      <c r="B19" s="14">
        <v>423000</v>
      </c>
      <c r="E19" s="17">
        <v>4</v>
      </c>
      <c r="F19" s="14">
        <v>230000</v>
      </c>
      <c r="G19" s="14">
        <v>43000</v>
      </c>
    </row>
    <row r="20" spans="1:7" x14ac:dyDescent="0.25">
      <c r="A20" s="17">
        <v>5</v>
      </c>
      <c r="B20" s="14">
        <v>341000</v>
      </c>
      <c r="E20" s="17">
        <v>5</v>
      </c>
      <c r="F20" s="14">
        <v>240000</v>
      </c>
      <c r="G20" s="14">
        <v>45000</v>
      </c>
    </row>
    <row r="21" spans="1:7" x14ac:dyDescent="0.25">
      <c r="A21" s="17">
        <v>6</v>
      </c>
      <c r="B21" s="14">
        <v>341000</v>
      </c>
      <c r="E21" s="17">
        <v>6</v>
      </c>
      <c r="F21" s="14">
        <v>250000</v>
      </c>
      <c r="G21" s="14">
        <v>44000</v>
      </c>
    </row>
    <row r="22" spans="1:7" x14ac:dyDescent="0.25">
      <c r="A22" s="17">
        <v>7</v>
      </c>
      <c r="B22" s="14">
        <v>341000</v>
      </c>
      <c r="E22" s="17">
        <v>7</v>
      </c>
      <c r="F22" s="14">
        <v>230000</v>
      </c>
      <c r="G22" s="14">
        <v>43000</v>
      </c>
    </row>
    <row r="23" spans="1:7" x14ac:dyDescent="0.25">
      <c r="A23" s="16" t="s">
        <v>37</v>
      </c>
      <c r="B23" s="14">
        <v>2469000</v>
      </c>
      <c r="E23" s="16" t="s">
        <v>28</v>
      </c>
      <c r="F23" s="14">
        <v>1735000</v>
      </c>
      <c r="G23" s="14">
        <v>322500</v>
      </c>
    </row>
    <row r="24" spans="1:7" x14ac:dyDescent="0.25">
      <c r="E24" s="17">
        <v>1</v>
      </c>
      <c r="F24" s="14">
        <v>240000</v>
      </c>
      <c r="G24" s="14">
        <v>44500</v>
      </c>
    </row>
    <row r="25" spans="1:7" x14ac:dyDescent="0.25">
      <c r="E25" s="17">
        <v>2</v>
      </c>
      <c r="F25" s="14">
        <v>240000</v>
      </c>
      <c r="G25" s="14">
        <v>44500</v>
      </c>
    </row>
    <row r="26" spans="1:7" x14ac:dyDescent="0.25">
      <c r="A26" s="15" t="s">
        <v>36</v>
      </c>
      <c r="B26" t="s">
        <v>38</v>
      </c>
      <c r="E26" s="17">
        <v>3</v>
      </c>
      <c r="F26" s="14">
        <v>240000</v>
      </c>
      <c r="G26" s="14">
        <v>44500</v>
      </c>
    </row>
    <row r="27" spans="1:7" x14ac:dyDescent="0.25">
      <c r="A27" s="16" t="s">
        <v>32</v>
      </c>
      <c r="B27" s="14">
        <v>1621000</v>
      </c>
      <c r="E27" s="17">
        <v>4</v>
      </c>
      <c r="F27" s="14">
        <v>295000</v>
      </c>
      <c r="G27" s="14">
        <v>55500</v>
      </c>
    </row>
    <row r="28" spans="1:7" x14ac:dyDescent="0.25">
      <c r="A28" s="17">
        <v>1</v>
      </c>
      <c r="B28" s="14">
        <v>255000</v>
      </c>
      <c r="E28" s="17">
        <v>5</v>
      </c>
      <c r="F28" s="14">
        <v>240000</v>
      </c>
      <c r="G28" s="14">
        <v>44500</v>
      </c>
    </row>
    <row r="29" spans="1:7" x14ac:dyDescent="0.25">
      <c r="A29" s="17">
        <v>2</v>
      </c>
      <c r="B29" s="14">
        <v>255000</v>
      </c>
      <c r="E29" s="17">
        <v>6</v>
      </c>
      <c r="F29" s="14">
        <v>240000</v>
      </c>
      <c r="G29" s="14">
        <v>44500</v>
      </c>
    </row>
    <row r="30" spans="1:7" x14ac:dyDescent="0.25">
      <c r="A30" s="17">
        <v>3</v>
      </c>
      <c r="B30" s="14">
        <v>170000</v>
      </c>
      <c r="E30" s="17">
        <v>7</v>
      </c>
      <c r="F30" s="14">
        <v>240000</v>
      </c>
      <c r="G30" s="14">
        <v>44500</v>
      </c>
    </row>
    <row r="31" spans="1:7" x14ac:dyDescent="0.25">
      <c r="A31" s="17">
        <v>4</v>
      </c>
      <c r="B31" s="14">
        <v>165000</v>
      </c>
      <c r="E31" s="16" t="s">
        <v>32</v>
      </c>
      <c r="F31" s="14">
        <v>1150000</v>
      </c>
      <c r="G31" s="14">
        <v>209500</v>
      </c>
    </row>
    <row r="32" spans="1:7" x14ac:dyDescent="0.25">
      <c r="A32" s="17">
        <v>5</v>
      </c>
      <c r="B32" s="14">
        <v>266000</v>
      </c>
      <c r="E32" s="17">
        <v>1</v>
      </c>
      <c r="F32" s="14">
        <v>180000</v>
      </c>
      <c r="G32" s="14">
        <v>33000</v>
      </c>
    </row>
    <row r="33" spans="1:7" x14ac:dyDescent="0.25">
      <c r="A33" s="17">
        <v>6</v>
      </c>
      <c r="B33" s="14">
        <v>255000</v>
      </c>
      <c r="E33" s="17">
        <v>2</v>
      </c>
      <c r="F33" s="14">
        <v>180000</v>
      </c>
      <c r="G33" s="14">
        <v>33000</v>
      </c>
    </row>
    <row r="34" spans="1:7" x14ac:dyDescent="0.25">
      <c r="A34" s="17">
        <v>7</v>
      </c>
      <c r="B34" s="14">
        <v>255000</v>
      </c>
      <c r="E34" s="17">
        <v>3</v>
      </c>
      <c r="F34" s="14">
        <v>120000</v>
      </c>
      <c r="G34" s="14">
        <v>21000</v>
      </c>
    </row>
    <row r="35" spans="1:7" x14ac:dyDescent="0.25">
      <c r="A35" s="16" t="s">
        <v>37</v>
      </c>
      <c r="B35" s="14">
        <v>1621000</v>
      </c>
      <c r="E35" s="17">
        <v>4</v>
      </c>
      <c r="F35" s="14">
        <v>110000</v>
      </c>
      <c r="G35" s="14">
        <v>22000</v>
      </c>
    </row>
    <row r="36" spans="1:7" x14ac:dyDescent="0.25">
      <c r="E36" s="17">
        <v>5</v>
      </c>
      <c r="F36" s="14">
        <v>200000</v>
      </c>
      <c r="G36" s="14">
        <v>34500</v>
      </c>
    </row>
    <row r="37" spans="1:7" x14ac:dyDescent="0.25">
      <c r="E37" s="17">
        <v>6</v>
      </c>
      <c r="F37" s="14">
        <v>180000</v>
      </c>
      <c r="G37" s="14">
        <v>33000</v>
      </c>
    </row>
    <row r="38" spans="1:7" x14ac:dyDescent="0.25">
      <c r="E38" s="17">
        <v>7</v>
      </c>
      <c r="F38" s="14">
        <v>180000</v>
      </c>
      <c r="G38" s="14">
        <v>33000</v>
      </c>
    </row>
    <row r="39" spans="1:7" x14ac:dyDescent="0.25">
      <c r="E39" s="16" t="s">
        <v>37</v>
      </c>
      <c r="F39" s="14">
        <v>4735000</v>
      </c>
      <c r="G39" s="14">
        <v>872000</v>
      </c>
    </row>
    <row r="41" spans="1:7" x14ac:dyDescent="0.25">
      <c r="A41" t="s">
        <v>45</v>
      </c>
      <c r="F41" s="18">
        <v>0.20833333333333334</v>
      </c>
    </row>
    <row r="42" spans="1:7" x14ac:dyDescent="0.25">
      <c r="A42" t="s">
        <v>35</v>
      </c>
      <c r="B42" t="s">
        <v>46</v>
      </c>
      <c r="C42" t="s">
        <v>47</v>
      </c>
      <c r="D42" t="s">
        <v>48</v>
      </c>
    </row>
    <row r="43" spans="1:7" x14ac:dyDescent="0.25">
      <c r="A43" s="14">
        <v>6720000</v>
      </c>
      <c r="B43" s="14">
        <v>5607000</v>
      </c>
      <c r="C43" s="14">
        <v>6077000</v>
      </c>
      <c r="D43" s="14">
        <v>1113000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736A-35AC-42E7-AA42-137EC2A0EA18}">
  <dimension ref="B11:AM18"/>
  <sheetViews>
    <sheetView tabSelected="1" topLeftCell="P28" zoomScale="70" zoomScaleNormal="70" workbookViewId="0">
      <selection activeCell="AE56" sqref="AE56"/>
    </sheetView>
  </sheetViews>
  <sheetFormatPr defaultRowHeight="15" x14ac:dyDescent="0.25"/>
  <cols>
    <col min="1" max="14" width="9.140625" style="19"/>
    <col min="15" max="15" width="8.5703125" style="19" customWidth="1"/>
    <col min="16" max="27" width="9.140625" style="19"/>
    <col min="28" max="28" width="3.5703125" style="19" customWidth="1"/>
    <col min="29" max="16384" width="9.140625" style="19"/>
  </cols>
  <sheetData>
    <row r="11" spans="2:39" ht="15.75" thickBot="1" x14ac:dyDescent="0.3"/>
    <row r="12" spans="2:39" ht="18" customHeight="1" thickBot="1" x14ac:dyDescent="0.55000000000000004">
      <c r="B12" s="20"/>
      <c r="C12" s="20"/>
      <c r="AB12" s="24" t="s">
        <v>55</v>
      </c>
      <c r="AC12" s="25"/>
      <c r="AD12" s="25"/>
      <c r="AE12" s="25"/>
      <c r="AF12" s="25"/>
      <c r="AG12" s="25"/>
      <c r="AH12" s="25"/>
      <c r="AI12" s="25"/>
      <c r="AJ12" s="25"/>
      <c r="AK12" s="25"/>
      <c r="AL12" s="25"/>
      <c r="AM12" s="26"/>
    </row>
    <row r="13" spans="2:39" ht="26.25" customHeight="1" x14ac:dyDescent="0.4">
      <c r="B13" s="22" t="s">
        <v>51</v>
      </c>
      <c r="C13" s="22"/>
      <c r="D13" s="22"/>
      <c r="E13" s="22"/>
      <c r="F13" s="22" t="s">
        <v>53</v>
      </c>
      <c r="G13" s="22"/>
      <c r="H13" s="22"/>
      <c r="I13" s="22"/>
      <c r="J13" s="22" t="s">
        <v>50</v>
      </c>
      <c r="K13" s="22"/>
      <c r="L13" s="22"/>
      <c r="M13" s="22"/>
      <c r="N13" s="22" t="s">
        <v>52</v>
      </c>
      <c r="O13" s="22"/>
      <c r="P13" s="22"/>
      <c r="Q13" s="22"/>
      <c r="AB13" s="21" t="s">
        <v>54</v>
      </c>
    </row>
    <row r="14" spans="2:39" ht="15" customHeight="1" x14ac:dyDescent="0.25">
      <c r="B14" s="23">
        <f>GETPIVOTDATA("Sum of Revenue",Pivot!$A$42)</f>
        <v>6720000</v>
      </c>
      <c r="C14" s="23"/>
      <c r="D14" s="23"/>
      <c r="E14" s="23"/>
      <c r="F14" s="23">
        <f>GETPIVOTDATA("Sum of Total Expenses",Pivot!$A$42)</f>
        <v>5607000</v>
      </c>
      <c r="G14" s="23"/>
      <c r="H14" s="23"/>
      <c r="I14" s="23"/>
      <c r="J14" s="23">
        <f>GETPIVOTDATA("Sum of Total_costs",Pivot!$A$42)</f>
        <v>6077000</v>
      </c>
      <c r="K14" s="23"/>
      <c r="L14" s="23"/>
      <c r="M14" s="23"/>
      <c r="N14" s="23">
        <f>GETPIVOTDATA("Sum of Profit",Pivot!$A$42)</f>
        <v>1113000</v>
      </c>
      <c r="O14" s="23"/>
      <c r="P14" s="23"/>
      <c r="Q14" s="23"/>
      <c r="AC14" t="s">
        <v>56</v>
      </c>
    </row>
    <row r="15" spans="2:39" ht="15.75" customHeight="1" x14ac:dyDescent="0.25">
      <c r="B15" s="23"/>
      <c r="C15" s="23"/>
      <c r="D15" s="23"/>
      <c r="E15" s="23"/>
      <c r="F15" s="23"/>
      <c r="G15" s="23"/>
      <c r="H15" s="23"/>
      <c r="I15" s="23"/>
      <c r="J15" s="23"/>
      <c r="K15" s="23"/>
      <c r="L15" s="23"/>
      <c r="M15" s="23"/>
      <c r="N15" s="23"/>
      <c r="O15" s="23"/>
      <c r="P15" s="23"/>
      <c r="Q15" s="23"/>
    </row>
    <row r="16" spans="2:39" ht="15" customHeight="1" x14ac:dyDescent="0.25">
      <c r="B16" s="23"/>
      <c r="C16" s="23"/>
      <c r="D16" s="23"/>
      <c r="E16" s="23"/>
      <c r="F16" s="23"/>
      <c r="G16" s="23"/>
      <c r="H16" s="23"/>
      <c r="I16" s="23"/>
      <c r="J16" s="23"/>
      <c r="K16" s="23"/>
      <c r="L16" s="23"/>
      <c r="M16" s="23"/>
      <c r="N16" s="23"/>
      <c r="O16" s="23"/>
      <c r="P16" s="23"/>
      <c r="Q16" s="23"/>
    </row>
    <row r="17" spans="2:17" ht="15" customHeight="1" x14ac:dyDescent="0.25">
      <c r="B17" s="23"/>
      <c r="C17" s="23"/>
      <c r="D17" s="23"/>
      <c r="E17" s="23"/>
      <c r="F17" s="23"/>
      <c r="G17" s="23"/>
      <c r="H17" s="23"/>
      <c r="I17" s="23"/>
      <c r="J17" s="23"/>
      <c r="K17" s="23"/>
      <c r="L17" s="23"/>
      <c r="M17" s="23"/>
      <c r="N17" s="23"/>
      <c r="O17" s="23"/>
      <c r="P17" s="23"/>
      <c r="Q17" s="23"/>
    </row>
    <row r="18" spans="2:17" ht="15" customHeight="1" x14ac:dyDescent="0.25">
      <c r="B18" s="23"/>
      <c r="C18" s="23"/>
      <c r="D18" s="23"/>
      <c r="E18" s="23"/>
      <c r="F18" s="23"/>
      <c r="G18" s="23"/>
      <c r="H18" s="23"/>
      <c r="I18" s="23"/>
      <c r="J18" s="23"/>
      <c r="K18" s="23"/>
      <c r="L18" s="23"/>
      <c r="M18" s="23"/>
      <c r="N18" s="23"/>
      <c r="O18" s="23"/>
      <c r="P18" s="23"/>
      <c r="Q18" s="23"/>
    </row>
  </sheetData>
  <mergeCells count="9">
    <mergeCell ref="N13:Q13"/>
    <mergeCell ref="N14:Q18"/>
    <mergeCell ref="AB12:AM12"/>
    <mergeCell ref="B14:E18"/>
    <mergeCell ref="B13:E13"/>
    <mergeCell ref="F13:I13"/>
    <mergeCell ref="F14:I18"/>
    <mergeCell ref="J13:M13"/>
    <mergeCell ref="J14:M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Hotel_Profit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vernanda dwi</cp:lastModifiedBy>
  <dcterms:created xsi:type="dcterms:W3CDTF">2025-10-14T15:43:26Z</dcterms:created>
  <dcterms:modified xsi:type="dcterms:W3CDTF">2025-10-17T08:32:24Z</dcterms:modified>
</cp:coreProperties>
</file>